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46B1375D-3352-EC41-86B1-ED10B7AA96B1}" xr6:coauthVersionLast="47" xr6:coauthVersionMax="47" xr10:uidLastSave="{00000000-0000-0000-0000-000000000000}"/>
  <bookViews>
    <workbookView xWindow="0" yWindow="0" windowWidth="28800" windowHeight="18000" activeTab="2" xr2:uid="{537EBED3-8838-C740-88C1-F5DF4985C79B}"/>
  </bookViews>
  <sheets>
    <sheet name="Sheet1" sheetId="1" r:id="rId1"/>
    <sheet name="Sheet2" sheetId="2" r:id="rId2"/>
    <sheet name="Sheet5" sheetId="5" r:id="rId3"/>
    <sheet name="Sheet3" sheetId="3" r:id="rId4"/>
    <sheet name="Sheet4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1" i="4"/>
  <c r="E2" i="4"/>
  <c r="E3" i="4"/>
  <c r="E4" i="4"/>
  <c r="E1" i="4"/>
  <c r="D1" i="3"/>
  <c r="D2" i="3"/>
  <c r="D3" i="3"/>
  <c r="D4" i="3"/>
  <c r="B2" i="3"/>
  <c r="B3" i="3"/>
  <c r="B4" i="3"/>
  <c r="B1" i="3"/>
</calcChain>
</file>

<file path=xl/sharedStrings.xml><?xml version="1.0" encoding="utf-8"?>
<sst xmlns="http://schemas.openxmlformats.org/spreadsheetml/2006/main" count="517" uniqueCount="153">
  <si>
    <t>nguyễn văn an</t>
  </si>
  <si>
    <t>le THI bich</t>
  </si>
  <si>
    <t>TRAN van Cuong</t>
  </si>
  <si>
    <t>pham thI DUNG</t>
  </si>
  <si>
    <t xml:space="preserve">Nguyễn Văn An </t>
  </si>
  <si>
    <t xml:space="preserve"> Kế Toán</t>
  </si>
  <si>
    <t>Trần Thị Bưởi</t>
  </si>
  <si>
    <t>Nhân Sự</t>
  </si>
  <si>
    <t>Lê Văn Cường</t>
  </si>
  <si>
    <t>Marketing</t>
  </si>
  <si>
    <t>INV001</t>
  </si>
  <si>
    <t>INV002</t>
  </si>
  <si>
    <t>INV003</t>
  </si>
  <si>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</si>
  <si>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</si>
  <si>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</si>
  <si>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</si>
  <si>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</si>
  <si>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</si>
  <si>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</si>
  <si>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</si>
  <si>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</si>
  <si>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</si>
  <si>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</si>
  <si>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</si>
  <si>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</si>
  <si>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</si>
  <si>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</si>
  <si>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</si>
  <si>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</si>
  <si>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</si>
  <si>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</si>
  <si>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</si>
  <si>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</si>
  <si>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</si>
  <si>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</si>
  <si>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</si>
  <si>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</si>
  <si>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</si>
  <si>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</si>
  <si>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</si>
  <si>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</si>
  <si>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</si>
  <si>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</si>
  <si>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</si>
  <si>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</si>
  <si>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</si>
  <si>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</si>
  <si>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</si>
  <si>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</si>
  <si>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</si>
  <si>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</si>
  <si>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</si>
  <si>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</si>
  <si>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</si>
  <si>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</si>
  <si>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</si>
  <si>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</si>
  <si>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</si>
  <si>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</si>
  <si>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</si>
  <si>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</si>
  <si>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</si>
  <si>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</si>
  <si>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</si>
  <si>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</si>
  <si>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</si>
  <si>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</si>
  <si>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</si>
  <si>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</si>
  <si>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</si>
  <si>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</si>
  <si>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</si>
  <si>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</si>
  <si>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</si>
  <si>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</si>
  <si>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</si>
  <si>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</si>
  <si>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</si>
  <si>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</si>
  <si>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</si>
  <si>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</si>
  <si>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</si>
  <si>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</si>
  <si>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</si>
  <si>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</si>
  <si>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</si>
  <si>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</si>
  <si>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</si>
  <si>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</si>
  <si>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</si>
  <si>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</si>
  <si>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</si>
  <si>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</si>
  <si>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</si>
  <si>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</si>
  <si>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</si>
  <si>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</si>
  <si>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</si>
  <si>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</si>
  <si>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</si>
  <si>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</si>
  <si>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</si>
  <si>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</si>
  <si>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</si>
  <si>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</si>
  <si>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</si>
  <si>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</si>
  <si>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</si>
  <si>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</si>
  <si>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</si>
  <si>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</si>
  <si>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</si>
  <si>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</si>
  <si>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</si>
  <si>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</si>
  <si>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</si>
  <si>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</si>
  <si>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</si>
  <si>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</si>
  <si>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</si>
  <si>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</si>
  <si>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</si>
  <si>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</si>
  <si>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</si>
  <si>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</si>
  <si>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</si>
  <si>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</si>
  <si>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</si>
  <si>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</si>
  <si>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</si>
  <si>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</si>
  <si>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</si>
  <si>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</si>
  <si>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</si>
  <si>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</si>
  <si>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</si>
  <si>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</si>
  <si>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</si>
  <si>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</si>
  <si>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</si>
  <si>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</si>
  <si>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</si>
  <si>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</si>
  <si>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</si>
  <si>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 xml:space="preserve">nguyen VAN hung </t>
  </si>
  <si>
    <t xml:space="preserve"> ha NOI</t>
  </si>
  <si>
    <t xml:space="preserve">tran THI mai </t>
  </si>
  <si>
    <t xml:space="preserve"> ho CHI MINH</t>
  </si>
  <si>
    <t xml:space="preserve">le VAN tam </t>
  </si>
  <si>
    <t xml:space="preserve"> da NANG</t>
  </si>
  <si>
    <t xml:space="preserve">hoang thi lan </t>
  </si>
  <si>
    <t xml:space="preserve"> can 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</si>
</sst>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₫&quot;* #,##0_);_(&quot;₫&quot;* \(#,##0\);_(&quot;₫&quot;* &quot;-&quot;_);_(@_)"/>
    <numFmt numFmtId="164" formatCode="0000000000"/>
    <numFmt numFmtId="165" formatCode="000000000"/>
    <numFmt numFmtId="166" formatCode="&quot;₫&quot;#,##0"/>
    <numFmt numFmtId="172" formatCode="[$-1010000]d/m/yyyy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rgb="FF1A1C1E"/>
      <name val="Arial"/>
      <family val="2"/>
    </font>
    <font>
      <sz val="12"/>
      <color rgb="FF000000"/>
      <name val="Arial"/>
      <family val="2"/>
    </font>
    <font>
      <sz val="13"/>
      <color rgb="FF1A1C1E"/>
      <name val="Arial"/>
      <family val="2"/>
    </font>
    <font>
      <b/>
      <sz val="14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72" fontId="2" fillId="0" borderId="0" xfId="0" applyNumberFormat="1" applyFont="1"/>
    <xf numFmtId="172" fontId="4" fillId="0" borderId="0" xfId="0" applyNumberFormat="1" applyFont="1"/>
    <xf numFmtId="172" fontId="0" fillId="0" borderId="0" xfId="0" applyNumberForma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B0A3-7BC5-FE46-BB92-16B15EF8B3B8}">
  <dimension ref="A1:C6"/>
  <sheetViews>
    <sheetView workbookViewId="0">
      <selection activeCell="E10" sqref="E10"/>
    </sheetView>
  </sheetViews>
  <sheetFormatPr baseColWidth="10" defaultRowHeight="16" x14ac:dyDescent="0.2"/>
  <cols>
    <col min="1" max="1" width="14" customWidth="1"/>
    <col min="2" max="2" width="12.5" customWidth="1"/>
  </cols>
  <sheetData>
    <row r="1" spans="1:3" x14ac:dyDescent="0.2">
      <c r="A1" t="s">
        <v>4</v>
      </c>
      <c r="B1" s="3">
        <v>90123456</v>
      </c>
      <c r="C1" t="s">
        <v>5</v>
      </c>
    </row>
    <row r="2" spans="1:3" x14ac:dyDescent="0.2">
      <c r="A2" t="s">
        <v>6</v>
      </c>
      <c r="B2" s="3">
        <v>90222222</v>
      </c>
      <c r="C2" t="s">
        <v>7</v>
      </c>
    </row>
    <row r="3" spans="1:3" x14ac:dyDescent="0.2">
      <c r="A3" t="s">
        <v>8</v>
      </c>
      <c r="B3" s="3">
        <v>90333333</v>
      </c>
      <c r="C3" t="s">
        <v>9</v>
      </c>
    </row>
    <row r="4" spans="1:3" x14ac:dyDescent="0.2">
      <c r="A4">
        <v>2023</v>
      </c>
      <c r="B4">
        <v>1001</v>
      </c>
      <c r="C4" t="s">
        <v>10</v>
      </c>
    </row>
    <row r="5" spans="1:3" x14ac:dyDescent="0.2">
      <c r="A5">
        <v>2023</v>
      </c>
      <c r="B5">
        <v>1225</v>
      </c>
      <c r="C5" t="s">
        <v>11</v>
      </c>
    </row>
    <row r="6" spans="1:3" x14ac:dyDescent="0.2">
      <c r="A6">
        <v>2024</v>
      </c>
      <c r="B6">
        <v>101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792D-0FFA-384B-95EB-8AEC2E5C9080}">
  <dimension ref="A1:A7"/>
  <sheetViews>
    <sheetView workbookViewId="0">
      <selection activeCell="C12" sqref="C12"/>
    </sheetView>
  </sheetViews>
  <sheetFormatPr baseColWidth="10" defaultRowHeight="16" x14ac:dyDescent="0.2"/>
  <cols>
    <col min="1" max="1" width="12.5" bestFit="1" customWidth="1"/>
  </cols>
  <sheetData>
    <row r="1" spans="1:1" x14ac:dyDescent="0.2">
      <c r="A1">
        <v>912345678</v>
      </c>
    </row>
    <row r="2" spans="1:1" x14ac:dyDescent="0.2">
      <c r="A2">
        <v>987654321</v>
      </c>
    </row>
    <row r="3" spans="1:1" x14ac:dyDescent="0.2">
      <c r="A3" s="5">
        <v>15000000</v>
      </c>
    </row>
    <row r="4" spans="1:1" x14ac:dyDescent="0.2">
      <c r="A4" s="4">
        <v>500000</v>
      </c>
    </row>
    <row r="5" spans="1:1" x14ac:dyDescent="0.2">
      <c r="A5">
        <v>45325</v>
      </c>
    </row>
    <row r="6" spans="1:1" x14ac:dyDescent="0.2">
      <c r="A6">
        <v>45412</v>
      </c>
    </row>
    <row r="7" spans="1:1" x14ac:dyDescent="0.2">
      <c r="A7" s="1">
        <v>45327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97AC-1D90-094F-BC60-D60B6041012C}">
  <dimension ref="A1:Z100"/>
  <sheetViews>
    <sheetView tabSelected="1" workbookViewId="0">
      <selection activeCell="O20" sqref="O20"/>
    </sheetView>
  </sheetViews>
  <sheetFormatPr baseColWidth="10" defaultRowHeight="16" x14ac:dyDescent="0.2"/>
  <cols>
    <col min="2" max="2" width="15" style="12" customWidth="1"/>
  </cols>
  <sheetData>
    <row r="1" spans="1:26" ht="18" x14ac:dyDescent="0.2">
      <c r="A1" s="9" t="s">
        <v>13</v>
      </c>
      <c r="B1" s="10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ht="17" x14ac:dyDescent="0.2">
      <c r="A2" s="8" t="s">
        <v>21</v>
      </c>
      <c r="B2" s="11">
        <v>44958</v>
      </c>
      <c r="C2" s="8" t="s">
        <v>22</v>
      </c>
      <c r="D2" s="8" t="s">
        <v>23</v>
      </c>
      <c r="E2" s="8" t="s">
        <v>24</v>
      </c>
      <c r="F2" s="8"/>
      <c r="G2" s="8">
        <v>25000000</v>
      </c>
      <c r="H2" s="8" t="s">
        <v>25</v>
      </c>
      <c r="I2" s="7" t="s">
        <v>22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7" x14ac:dyDescent="0.2">
      <c r="A3" s="8" t="s">
        <v>26</v>
      </c>
      <c r="B3" s="11">
        <v>44986</v>
      </c>
      <c r="C3" s="8" t="s">
        <v>27</v>
      </c>
      <c r="D3" s="8" t="s">
        <v>28</v>
      </c>
      <c r="E3" s="8" t="s">
        <v>29</v>
      </c>
      <c r="F3" s="8">
        <v>2</v>
      </c>
      <c r="G3" s="8">
        <v>1800000</v>
      </c>
      <c r="H3" s="8"/>
      <c r="I3" s="7" t="s">
        <v>27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7" x14ac:dyDescent="0.2">
      <c r="A4" s="8" t="s">
        <v>30</v>
      </c>
      <c r="B4" s="11">
        <v>44986</v>
      </c>
      <c r="C4" s="8" t="s">
        <v>31</v>
      </c>
      <c r="D4" s="8" t="s">
        <v>32</v>
      </c>
      <c r="E4" s="8" t="s">
        <v>33</v>
      </c>
      <c r="F4" s="8">
        <v>1</v>
      </c>
      <c r="G4" s="8">
        <v>2200000</v>
      </c>
      <c r="H4" s="8" t="s">
        <v>34</v>
      </c>
      <c r="I4" s="7" t="s">
        <v>31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7" x14ac:dyDescent="0.2">
      <c r="A5" s="8" t="s">
        <v>35</v>
      </c>
      <c r="B5" s="11">
        <v>45017</v>
      </c>
      <c r="C5" s="8" t="s">
        <v>36</v>
      </c>
      <c r="D5" s="8"/>
      <c r="E5" s="8" t="s">
        <v>37</v>
      </c>
      <c r="F5" s="8"/>
      <c r="G5" s="8">
        <v>6500000</v>
      </c>
      <c r="H5" s="8"/>
      <c r="I5" s="7" t="s">
        <v>36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" x14ac:dyDescent="0.2">
      <c r="A6" s="8" t="s">
        <v>38</v>
      </c>
      <c r="B6" s="11">
        <v>45047</v>
      </c>
      <c r="C6" s="8" t="s">
        <v>39</v>
      </c>
      <c r="D6" s="8" t="s">
        <v>28</v>
      </c>
      <c r="E6" s="8" t="s">
        <v>40</v>
      </c>
      <c r="F6" s="8">
        <v>3</v>
      </c>
      <c r="G6" s="8">
        <v>2500000</v>
      </c>
      <c r="H6" s="8" t="s">
        <v>41</v>
      </c>
      <c r="I6" s="7" t="s">
        <v>39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7" x14ac:dyDescent="0.2">
      <c r="A7" s="8" t="s">
        <v>42</v>
      </c>
      <c r="B7" s="11">
        <v>45047</v>
      </c>
      <c r="C7" s="8" t="s">
        <v>22</v>
      </c>
      <c r="D7" s="8" t="s">
        <v>23</v>
      </c>
      <c r="E7" s="8" t="s">
        <v>43</v>
      </c>
      <c r="F7" s="8">
        <v>1</v>
      </c>
      <c r="G7" s="8">
        <v>7500000</v>
      </c>
      <c r="H7" s="8"/>
      <c r="I7" s="7" t="s">
        <v>22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7" x14ac:dyDescent="0.2">
      <c r="A8" s="8" t="s">
        <v>44</v>
      </c>
      <c r="B8" s="11">
        <v>45078</v>
      </c>
      <c r="C8" s="8" t="s">
        <v>27</v>
      </c>
      <c r="D8" s="8" t="s">
        <v>28</v>
      </c>
      <c r="E8" s="8" t="s">
        <v>24</v>
      </c>
      <c r="F8" s="8">
        <v>1</v>
      </c>
      <c r="G8" s="8">
        <v>25000000</v>
      </c>
      <c r="H8" s="8"/>
      <c r="I8" s="7" t="s">
        <v>27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7" x14ac:dyDescent="0.2">
      <c r="A9" s="8" t="s">
        <v>45</v>
      </c>
      <c r="B9" s="11">
        <v>45108</v>
      </c>
      <c r="C9" s="8" t="s">
        <v>31</v>
      </c>
      <c r="D9" s="8" t="s">
        <v>32</v>
      </c>
      <c r="E9" s="8" t="s">
        <v>29</v>
      </c>
      <c r="F9" s="8">
        <v>1</v>
      </c>
      <c r="G9" s="8">
        <v>1800000</v>
      </c>
      <c r="H9" s="8"/>
      <c r="I9" s="7" t="s">
        <v>31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7" x14ac:dyDescent="0.2">
      <c r="A10" s="8" t="s">
        <v>46</v>
      </c>
      <c r="B10" s="11">
        <v>45139</v>
      </c>
      <c r="C10" s="8" t="s">
        <v>36</v>
      </c>
      <c r="D10" s="8"/>
      <c r="E10" s="8" t="s">
        <v>33</v>
      </c>
      <c r="F10" s="8">
        <v>2</v>
      </c>
      <c r="G10" s="8">
        <v>2200000</v>
      </c>
      <c r="H10" s="8"/>
      <c r="I10" s="7" t="s">
        <v>36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7" x14ac:dyDescent="0.2">
      <c r="A11" s="8" t="s">
        <v>47</v>
      </c>
      <c r="B11" s="11">
        <v>45139</v>
      </c>
      <c r="C11" s="8" t="s">
        <v>39</v>
      </c>
      <c r="D11" s="8" t="s">
        <v>28</v>
      </c>
      <c r="E11" s="8" t="s">
        <v>37</v>
      </c>
      <c r="F11" s="8">
        <v>1</v>
      </c>
      <c r="G11" s="8">
        <v>6500000</v>
      </c>
      <c r="H11" s="8"/>
      <c r="I11" s="7" t="s">
        <v>39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7" x14ac:dyDescent="0.2">
      <c r="A12" s="8" t="s">
        <v>48</v>
      </c>
      <c r="B12" s="11">
        <v>45170</v>
      </c>
      <c r="C12" s="8" t="s">
        <v>22</v>
      </c>
      <c r="D12" s="8" t="s">
        <v>23</v>
      </c>
      <c r="E12" s="8" t="s">
        <v>40</v>
      </c>
      <c r="F12" s="8">
        <v>1</v>
      </c>
      <c r="G12" s="8">
        <v>2500000</v>
      </c>
      <c r="H12" s="8" t="s">
        <v>49</v>
      </c>
      <c r="I12" s="7" t="s">
        <v>22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7" x14ac:dyDescent="0.2">
      <c r="A13" s="8" t="s">
        <v>50</v>
      </c>
      <c r="B13" s="11">
        <v>45200</v>
      </c>
      <c r="C13" s="8" t="s">
        <v>27</v>
      </c>
      <c r="D13" s="8" t="s">
        <v>28</v>
      </c>
      <c r="E13" s="8" t="s">
        <v>43</v>
      </c>
      <c r="F13" s="8"/>
      <c r="G13" s="8">
        <v>7500000</v>
      </c>
      <c r="H13" s="8"/>
      <c r="I13" s="7" t="s">
        <v>27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7" x14ac:dyDescent="0.2">
      <c r="A14" s="8" t="s">
        <v>51</v>
      </c>
      <c r="B14" s="11">
        <v>45231</v>
      </c>
      <c r="C14" s="8" t="s">
        <v>31</v>
      </c>
      <c r="D14" s="8" t="s">
        <v>32</v>
      </c>
      <c r="E14" s="8" t="s">
        <v>24</v>
      </c>
      <c r="F14" s="8">
        <v>1</v>
      </c>
      <c r="G14" s="8">
        <v>25000000</v>
      </c>
      <c r="H14" s="8"/>
      <c r="I14" s="7" t="s">
        <v>31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7" x14ac:dyDescent="0.2">
      <c r="A15" s="8" t="s">
        <v>52</v>
      </c>
      <c r="B15" s="11">
        <v>45261</v>
      </c>
      <c r="C15" s="8" t="s">
        <v>36</v>
      </c>
      <c r="D15" s="8"/>
      <c r="E15" s="8" t="s">
        <v>53</v>
      </c>
      <c r="F15" s="8">
        <v>1</v>
      </c>
      <c r="G15" s="8">
        <v>1800000</v>
      </c>
      <c r="H15" s="8"/>
      <c r="I15" s="7" t="s">
        <v>36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7" x14ac:dyDescent="0.2">
      <c r="A16" s="8" t="s">
        <v>54</v>
      </c>
      <c r="B16" s="11">
        <v>45261</v>
      </c>
      <c r="C16" s="8" t="s">
        <v>39</v>
      </c>
      <c r="D16" s="8" t="s">
        <v>28</v>
      </c>
      <c r="E16" s="8" t="s">
        <v>33</v>
      </c>
      <c r="F16" s="8">
        <v>1</v>
      </c>
      <c r="G16" s="8">
        <v>2200000</v>
      </c>
      <c r="H16" s="8" t="s">
        <v>55</v>
      </c>
      <c r="I16" s="7" t="s">
        <v>39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7" x14ac:dyDescent="0.2">
      <c r="A17" s="8" t="s">
        <v>56</v>
      </c>
      <c r="B17" s="11">
        <v>44939</v>
      </c>
      <c r="C17" s="8" t="s">
        <v>22</v>
      </c>
      <c r="D17" s="8" t="s">
        <v>23</v>
      </c>
      <c r="E17" s="8" t="s">
        <v>37</v>
      </c>
      <c r="F17" s="8">
        <v>2</v>
      </c>
      <c r="G17" s="8">
        <v>6500000</v>
      </c>
      <c r="H17" s="8"/>
      <c r="I17" s="7" t="s">
        <v>22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7" x14ac:dyDescent="0.2">
      <c r="A18" s="8" t="s">
        <v>57</v>
      </c>
      <c r="B18" s="11">
        <v>44940</v>
      </c>
      <c r="C18" s="8" t="s">
        <v>27</v>
      </c>
      <c r="D18" s="8" t="s">
        <v>28</v>
      </c>
      <c r="E18" s="8" t="s">
        <v>40</v>
      </c>
      <c r="F18" s="8">
        <v>1</v>
      </c>
      <c r="G18" s="8">
        <v>2500000</v>
      </c>
      <c r="H18" s="8"/>
      <c r="I18" s="7" t="s">
        <v>27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7" x14ac:dyDescent="0.2">
      <c r="A19" s="8" t="s">
        <v>58</v>
      </c>
      <c r="B19" s="11">
        <v>44941</v>
      </c>
      <c r="C19" s="8" t="s">
        <v>31</v>
      </c>
      <c r="D19" s="8" t="s">
        <v>32</v>
      </c>
      <c r="E19" s="8" t="s">
        <v>43</v>
      </c>
      <c r="F19" s="8">
        <v>1</v>
      </c>
      <c r="G19" s="8">
        <v>7500000</v>
      </c>
      <c r="H19" s="8"/>
      <c r="I19" s="7" t="s">
        <v>31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7" x14ac:dyDescent="0.2">
      <c r="A20" s="8" t="s">
        <v>59</v>
      </c>
      <c r="B20" s="11">
        <v>44941</v>
      </c>
      <c r="C20" s="8" t="s">
        <v>36</v>
      </c>
      <c r="D20" s="8"/>
      <c r="E20" s="8" t="s">
        <v>60</v>
      </c>
      <c r="F20" s="8">
        <v>1</v>
      </c>
      <c r="G20" s="8">
        <v>25000000</v>
      </c>
      <c r="H20" s="8"/>
      <c r="I20" s="7" t="s">
        <v>36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7" x14ac:dyDescent="0.2">
      <c r="A21" s="8" t="s">
        <v>61</v>
      </c>
      <c r="B21" s="11">
        <v>44942</v>
      </c>
      <c r="C21" s="8" t="s">
        <v>39</v>
      </c>
      <c r="D21" s="8" t="s">
        <v>28</v>
      </c>
      <c r="E21" s="8" t="s">
        <v>29</v>
      </c>
      <c r="F21" s="8">
        <v>3</v>
      </c>
      <c r="G21" s="8">
        <v>1800000</v>
      </c>
      <c r="H21" s="8"/>
      <c r="I21" s="7" t="s">
        <v>39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7" x14ac:dyDescent="0.2">
      <c r="A22" s="8" t="s">
        <v>62</v>
      </c>
      <c r="B22" s="11">
        <v>44943</v>
      </c>
      <c r="C22" s="8" t="s">
        <v>22</v>
      </c>
      <c r="D22" s="8" t="s">
        <v>23</v>
      </c>
      <c r="E22" s="8" t="s">
        <v>33</v>
      </c>
      <c r="F22" s="8">
        <v>1</v>
      </c>
      <c r="G22" s="8">
        <v>2200000</v>
      </c>
      <c r="H22" s="8"/>
      <c r="I22" s="7" t="s">
        <v>22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7" x14ac:dyDescent="0.2">
      <c r="A23" s="8" t="s">
        <v>63</v>
      </c>
      <c r="B23" s="11">
        <v>44944</v>
      </c>
      <c r="C23" s="8" t="s">
        <v>27</v>
      </c>
      <c r="D23" s="8" t="s">
        <v>28</v>
      </c>
      <c r="E23" s="8" t="s">
        <v>37</v>
      </c>
      <c r="F23" s="8">
        <v>1</v>
      </c>
      <c r="G23" s="8">
        <v>6500000</v>
      </c>
      <c r="H23" s="8" t="s">
        <v>64</v>
      </c>
      <c r="I23" s="7" t="s">
        <v>27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7" x14ac:dyDescent="0.2">
      <c r="A24" s="8" t="s">
        <v>65</v>
      </c>
      <c r="B24" s="11">
        <v>44944</v>
      </c>
      <c r="C24" s="8" t="s">
        <v>31</v>
      </c>
      <c r="D24" s="8" t="s">
        <v>32</v>
      </c>
      <c r="E24" s="8" t="s">
        <v>40</v>
      </c>
      <c r="F24" s="8">
        <v>2</v>
      </c>
      <c r="G24" s="8">
        <v>2500000</v>
      </c>
      <c r="H24" s="8"/>
      <c r="I24" s="7" t="s">
        <v>31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7" x14ac:dyDescent="0.2">
      <c r="A25" s="8" t="s">
        <v>66</v>
      </c>
      <c r="B25" s="11">
        <v>44945</v>
      </c>
      <c r="C25" s="8" t="s">
        <v>36</v>
      </c>
      <c r="D25" s="8"/>
      <c r="E25" s="8" t="s">
        <v>43</v>
      </c>
      <c r="F25" s="8">
        <v>1</v>
      </c>
      <c r="G25" s="8">
        <v>7500000</v>
      </c>
      <c r="H25" s="8"/>
      <c r="I25" s="7" t="s">
        <v>36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7" x14ac:dyDescent="0.2">
      <c r="A26" s="8" t="s">
        <v>67</v>
      </c>
      <c r="B26" s="11">
        <v>44946</v>
      </c>
      <c r="C26" s="8" t="s">
        <v>39</v>
      </c>
      <c r="D26" s="8" t="s">
        <v>28</v>
      </c>
      <c r="E26" s="8" t="s">
        <v>24</v>
      </c>
      <c r="F26" s="8">
        <v>1</v>
      </c>
      <c r="G26" s="8">
        <v>25000000</v>
      </c>
      <c r="H26" s="8"/>
      <c r="I26" s="7" t="s">
        <v>39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7" x14ac:dyDescent="0.2">
      <c r="A27" s="8" t="s">
        <v>67</v>
      </c>
      <c r="B27" s="11">
        <v>44946</v>
      </c>
      <c r="C27" s="8" t="s">
        <v>39</v>
      </c>
      <c r="D27" s="8" t="s">
        <v>28</v>
      </c>
      <c r="E27" s="8" t="s">
        <v>24</v>
      </c>
      <c r="F27" s="8">
        <v>1</v>
      </c>
      <c r="G27" s="8">
        <v>25000000</v>
      </c>
      <c r="H27" s="8"/>
      <c r="I27" s="7" t="s">
        <v>39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7" x14ac:dyDescent="0.2">
      <c r="A28" s="8" t="s">
        <v>68</v>
      </c>
      <c r="B28" s="11">
        <v>44947</v>
      </c>
      <c r="C28" s="8" t="s">
        <v>22</v>
      </c>
      <c r="D28" s="8" t="s">
        <v>69</v>
      </c>
      <c r="E28" s="8" t="s">
        <v>29</v>
      </c>
      <c r="F28" s="8">
        <v>1</v>
      </c>
      <c r="G28" s="8">
        <v>1800000</v>
      </c>
      <c r="H28" s="8"/>
      <c r="I28" s="7" t="s">
        <v>22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7" x14ac:dyDescent="0.2">
      <c r="A29" s="8" t="s">
        <v>70</v>
      </c>
      <c r="B29" s="11">
        <v>44948</v>
      </c>
      <c r="C29" s="8" t="s">
        <v>27</v>
      </c>
      <c r="D29" s="8" t="s">
        <v>28</v>
      </c>
      <c r="E29" s="8" t="s">
        <v>33</v>
      </c>
      <c r="F29" s="8">
        <v>1</v>
      </c>
      <c r="G29" s="8">
        <v>2200000</v>
      </c>
      <c r="H29" s="8"/>
      <c r="I29" s="7" t="s">
        <v>27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7" x14ac:dyDescent="0.2">
      <c r="A30" s="8" t="s">
        <v>71</v>
      </c>
      <c r="B30" s="11">
        <v>44949</v>
      </c>
      <c r="C30" s="8" t="s">
        <v>31</v>
      </c>
      <c r="D30" s="8" t="s">
        <v>32</v>
      </c>
      <c r="E30" s="8" t="s">
        <v>37</v>
      </c>
      <c r="F30" s="8">
        <v>1</v>
      </c>
      <c r="G30" s="8">
        <v>6500000</v>
      </c>
      <c r="H30" s="8"/>
      <c r="I30" s="7" t="s">
        <v>31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7" x14ac:dyDescent="0.2">
      <c r="A31" s="8" t="s">
        <v>72</v>
      </c>
      <c r="B31" s="11">
        <v>44949</v>
      </c>
      <c r="C31" s="8" t="s">
        <v>36</v>
      </c>
      <c r="D31" s="8"/>
      <c r="E31" s="8" t="s">
        <v>40</v>
      </c>
      <c r="F31" s="8">
        <v>4</v>
      </c>
      <c r="G31" s="8">
        <v>2500000</v>
      </c>
      <c r="H31" s="8"/>
      <c r="I31" s="7" t="s">
        <v>36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7" x14ac:dyDescent="0.2">
      <c r="A32" s="8" t="s">
        <v>73</v>
      </c>
      <c r="B32" s="11">
        <v>44950</v>
      </c>
      <c r="C32" s="8" t="s">
        <v>39</v>
      </c>
      <c r="D32" s="8" t="s">
        <v>28</v>
      </c>
      <c r="E32" s="8" t="s">
        <v>43</v>
      </c>
      <c r="F32" s="8">
        <v>1</v>
      </c>
      <c r="G32" s="8">
        <v>7500000</v>
      </c>
      <c r="H32" s="8"/>
      <c r="I32" s="7" t="s">
        <v>39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7" x14ac:dyDescent="0.2">
      <c r="A33" s="8" t="s">
        <v>74</v>
      </c>
      <c r="B33" s="11">
        <v>44928</v>
      </c>
      <c r="C33" s="8" t="s">
        <v>22</v>
      </c>
      <c r="D33" s="8" t="s">
        <v>23</v>
      </c>
      <c r="E33" s="8" t="s">
        <v>75</v>
      </c>
      <c r="F33" s="8">
        <v>2</v>
      </c>
      <c r="G33" s="8">
        <v>2100000</v>
      </c>
      <c r="H33" s="8"/>
      <c r="I33" s="7" t="s">
        <v>22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7" x14ac:dyDescent="0.2">
      <c r="A34" s="8" t="s">
        <v>76</v>
      </c>
      <c r="B34" s="11">
        <v>44959</v>
      </c>
      <c r="C34" s="8" t="s">
        <v>27</v>
      </c>
      <c r="D34" s="8" t="s">
        <v>28</v>
      </c>
      <c r="E34" s="8" t="s">
        <v>77</v>
      </c>
      <c r="F34" s="8">
        <v>3</v>
      </c>
      <c r="G34" s="8">
        <v>450</v>
      </c>
      <c r="H34" s="8"/>
      <c r="I34" s="7" t="s">
        <v>27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7" x14ac:dyDescent="0.2">
      <c r="A35" s="8" t="s">
        <v>78</v>
      </c>
      <c r="B35" s="11">
        <v>44959</v>
      </c>
      <c r="C35" s="8" t="s">
        <v>31</v>
      </c>
      <c r="D35" s="8" t="s">
        <v>32</v>
      </c>
      <c r="E35" s="8" t="s">
        <v>24</v>
      </c>
      <c r="F35" s="8">
        <v>1</v>
      </c>
      <c r="G35" s="8">
        <v>25000000</v>
      </c>
      <c r="H35" s="8"/>
      <c r="I35" s="7" t="s">
        <v>31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7" x14ac:dyDescent="0.2">
      <c r="A36" s="8" t="s">
        <v>79</v>
      </c>
      <c r="B36" s="11">
        <v>44987</v>
      </c>
      <c r="C36" s="8" t="s">
        <v>36</v>
      </c>
      <c r="D36" s="8"/>
      <c r="E36" s="8" t="s">
        <v>29</v>
      </c>
      <c r="F36" s="8">
        <v>1</v>
      </c>
      <c r="G36" s="8">
        <v>1800000</v>
      </c>
      <c r="H36" s="8" t="s">
        <v>41</v>
      </c>
      <c r="I36" s="7" t="s">
        <v>36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7" x14ac:dyDescent="0.2">
      <c r="A37" s="8" t="s">
        <v>80</v>
      </c>
      <c r="B37" s="11">
        <v>45018</v>
      </c>
      <c r="C37" s="8" t="s">
        <v>39</v>
      </c>
      <c r="D37" s="8" t="s">
        <v>28</v>
      </c>
      <c r="E37" s="8" t="s">
        <v>33</v>
      </c>
      <c r="F37" s="8">
        <v>1</v>
      </c>
      <c r="G37" s="8">
        <v>2200000</v>
      </c>
      <c r="H37" s="8"/>
      <c r="I37" s="7" t="s">
        <v>39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7" x14ac:dyDescent="0.2">
      <c r="A38" s="8" t="s">
        <v>81</v>
      </c>
      <c r="B38" s="11">
        <v>45048</v>
      </c>
      <c r="C38" s="8" t="s">
        <v>22</v>
      </c>
      <c r="D38" s="8" t="s">
        <v>23</v>
      </c>
      <c r="E38" s="8" t="s">
        <v>82</v>
      </c>
      <c r="F38" s="8">
        <v>1</v>
      </c>
      <c r="G38" s="8">
        <v>6500000</v>
      </c>
      <c r="H38" s="8"/>
      <c r="I38" s="7" t="s">
        <v>22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7" x14ac:dyDescent="0.2">
      <c r="A39" s="8" t="s">
        <v>83</v>
      </c>
      <c r="B39" s="11">
        <v>45048</v>
      </c>
      <c r="C39" s="8" t="s">
        <v>27</v>
      </c>
      <c r="D39" s="8" t="s">
        <v>28</v>
      </c>
      <c r="E39" s="8" t="s">
        <v>40</v>
      </c>
      <c r="F39" s="8">
        <v>2</v>
      </c>
      <c r="G39" s="8">
        <v>2500000</v>
      </c>
      <c r="H39" s="8"/>
      <c r="I39" s="7" t="s">
        <v>27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7" x14ac:dyDescent="0.2">
      <c r="A40" s="8" t="s">
        <v>84</v>
      </c>
      <c r="B40" s="11">
        <v>45079</v>
      </c>
      <c r="C40" s="8" t="s">
        <v>31</v>
      </c>
      <c r="D40" s="8" t="s">
        <v>32</v>
      </c>
      <c r="E40" s="8" t="s">
        <v>43</v>
      </c>
      <c r="F40" s="8">
        <v>1</v>
      </c>
      <c r="G40" s="8">
        <v>7500000</v>
      </c>
      <c r="H40" s="8"/>
      <c r="I40" s="7" t="s">
        <v>31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7" x14ac:dyDescent="0.2">
      <c r="A41" s="8" t="s">
        <v>85</v>
      </c>
      <c r="B41" s="11">
        <v>45109</v>
      </c>
      <c r="C41" s="8" t="s">
        <v>36</v>
      </c>
      <c r="D41" s="8"/>
      <c r="E41" s="8" t="s">
        <v>75</v>
      </c>
      <c r="F41" s="8">
        <v>1</v>
      </c>
      <c r="G41" s="8">
        <v>2100000</v>
      </c>
      <c r="H41" s="8"/>
      <c r="I41" s="7" t="s">
        <v>36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7" x14ac:dyDescent="0.2">
      <c r="A42" s="8" t="s">
        <v>86</v>
      </c>
      <c r="B42" s="11">
        <v>45140</v>
      </c>
      <c r="C42" s="8" t="s">
        <v>39</v>
      </c>
      <c r="D42" s="8" t="s">
        <v>28</v>
      </c>
      <c r="E42" s="8" t="s">
        <v>87</v>
      </c>
      <c r="F42" s="8">
        <v>5</v>
      </c>
      <c r="G42" s="8">
        <v>450</v>
      </c>
      <c r="H42" s="8"/>
      <c r="I42" s="7" t="s">
        <v>39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7" x14ac:dyDescent="0.2">
      <c r="A43" s="8" t="s">
        <v>88</v>
      </c>
      <c r="B43" s="11">
        <v>45140</v>
      </c>
      <c r="C43" s="8" t="s">
        <v>22</v>
      </c>
      <c r="D43" s="8" t="s">
        <v>23</v>
      </c>
      <c r="E43" s="8" t="s">
        <v>24</v>
      </c>
      <c r="F43" s="8">
        <v>1</v>
      </c>
      <c r="G43" s="8">
        <v>25000000</v>
      </c>
      <c r="H43" s="8"/>
      <c r="I43" s="7" t="s">
        <v>22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7" x14ac:dyDescent="0.2">
      <c r="A44" s="8" t="s">
        <v>89</v>
      </c>
      <c r="B44" s="11">
        <v>45171</v>
      </c>
      <c r="C44" s="8" t="s">
        <v>27</v>
      </c>
      <c r="D44" s="8" t="s">
        <v>28</v>
      </c>
      <c r="E44" s="8" t="s">
        <v>29</v>
      </c>
      <c r="F44" s="8">
        <v>1</v>
      </c>
      <c r="G44" s="8">
        <v>1800000</v>
      </c>
      <c r="H44" s="8"/>
      <c r="I44" s="7" t="s">
        <v>27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7" x14ac:dyDescent="0.2">
      <c r="A45" s="8" t="s">
        <v>90</v>
      </c>
      <c r="B45" s="11">
        <v>45201</v>
      </c>
      <c r="C45" s="8" t="s">
        <v>31</v>
      </c>
      <c r="D45" s="8" t="s">
        <v>32</v>
      </c>
      <c r="E45" s="8" t="s">
        <v>33</v>
      </c>
      <c r="F45" s="8"/>
      <c r="G45" s="8">
        <v>2200000</v>
      </c>
      <c r="H45" s="8" t="s">
        <v>34</v>
      </c>
      <c r="I45" s="7" t="s">
        <v>31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7" x14ac:dyDescent="0.2">
      <c r="A46" s="8"/>
      <c r="B46" s="11">
        <v>45232</v>
      </c>
      <c r="C46" s="8" t="s">
        <v>36</v>
      </c>
      <c r="D46" s="8"/>
      <c r="E46" s="8" t="s">
        <v>37</v>
      </c>
      <c r="F46" s="8">
        <v>1</v>
      </c>
      <c r="G46" s="8">
        <v>6500000</v>
      </c>
      <c r="H46" s="8"/>
      <c r="I46" s="7" t="s">
        <v>36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7" x14ac:dyDescent="0.2">
      <c r="A47" s="8"/>
      <c r="B47" s="11">
        <v>45232</v>
      </c>
      <c r="C47" s="8" t="s">
        <v>39</v>
      </c>
      <c r="D47" s="8" t="s">
        <v>28</v>
      </c>
      <c r="E47" s="8" t="s">
        <v>40</v>
      </c>
      <c r="F47" s="8">
        <v>1</v>
      </c>
      <c r="G47" s="8">
        <v>2500000</v>
      </c>
      <c r="H47" s="8"/>
      <c r="I47" s="7" t="s">
        <v>39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7" x14ac:dyDescent="0.2">
      <c r="A48" s="8" t="s">
        <v>91</v>
      </c>
      <c r="B48" s="11">
        <v>45262</v>
      </c>
      <c r="C48" s="8" t="s">
        <v>22</v>
      </c>
      <c r="D48" s="8" t="s">
        <v>23</v>
      </c>
      <c r="E48" s="8" t="s">
        <v>43</v>
      </c>
      <c r="F48" s="8">
        <v>1</v>
      </c>
      <c r="G48" s="8">
        <v>7500000</v>
      </c>
      <c r="H48" s="8"/>
      <c r="I48" s="7" t="s">
        <v>22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7" x14ac:dyDescent="0.2">
      <c r="A49" s="8" t="s">
        <v>92</v>
      </c>
      <c r="B49" s="11">
        <v>44970</v>
      </c>
      <c r="C49" s="8" t="s">
        <v>27</v>
      </c>
      <c r="D49" s="8" t="s">
        <v>28</v>
      </c>
      <c r="E49" s="8" t="s">
        <v>75</v>
      </c>
      <c r="F49" s="8">
        <v>3</v>
      </c>
      <c r="G49" s="8">
        <v>2100000</v>
      </c>
      <c r="H49" s="8" t="s">
        <v>25</v>
      </c>
      <c r="I49" s="7" t="s">
        <v>27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7" x14ac:dyDescent="0.2">
      <c r="A50" s="8" t="s">
        <v>93</v>
      </c>
      <c r="B50" s="11">
        <v>44971</v>
      </c>
      <c r="C50" s="8" t="s">
        <v>31</v>
      </c>
      <c r="D50" s="8" t="s">
        <v>32</v>
      </c>
      <c r="E50" s="8" t="s">
        <v>77</v>
      </c>
      <c r="F50" s="8">
        <v>2</v>
      </c>
      <c r="G50" s="8">
        <v>450</v>
      </c>
      <c r="H50" s="8"/>
      <c r="I50" s="7" t="s">
        <v>31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7" x14ac:dyDescent="0.2">
      <c r="A51" s="8" t="s">
        <v>94</v>
      </c>
      <c r="B51" s="11">
        <v>44972</v>
      </c>
      <c r="C51" s="8" t="s">
        <v>36</v>
      </c>
      <c r="D51" s="8"/>
      <c r="E51" s="8" t="s">
        <v>60</v>
      </c>
      <c r="F51" s="8">
        <v>1</v>
      </c>
      <c r="G51" s="8">
        <v>2100000</v>
      </c>
      <c r="H51" s="8"/>
      <c r="I51" s="7" t="s">
        <v>36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7" x14ac:dyDescent="0.2">
      <c r="A52" s="8" t="s">
        <v>95</v>
      </c>
      <c r="B52" s="11">
        <v>44972</v>
      </c>
      <c r="C52" s="8" t="s">
        <v>39</v>
      </c>
      <c r="D52" s="8" t="s">
        <v>28</v>
      </c>
      <c r="E52" s="8" t="s">
        <v>29</v>
      </c>
      <c r="F52" s="8">
        <v>1</v>
      </c>
      <c r="G52" s="8">
        <v>1800000</v>
      </c>
      <c r="H52" s="8"/>
      <c r="I52" s="7" t="s">
        <v>39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7" x14ac:dyDescent="0.2">
      <c r="A53" s="8" t="s">
        <v>96</v>
      </c>
      <c r="B53" s="11">
        <v>44973</v>
      </c>
      <c r="C53" s="8" t="s">
        <v>22</v>
      </c>
      <c r="D53" s="8" t="s">
        <v>23</v>
      </c>
      <c r="E53" s="8" t="s">
        <v>33</v>
      </c>
      <c r="F53" s="8">
        <v>1</v>
      </c>
      <c r="G53" s="8">
        <v>2200000</v>
      </c>
      <c r="H53" s="8"/>
      <c r="I53" s="7" t="s">
        <v>22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7" x14ac:dyDescent="0.2">
      <c r="A54" s="8" t="s">
        <v>97</v>
      </c>
      <c r="B54" s="11">
        <v>44974</v>
      </c>
      <c r="C54" s="8" t="s">
        <v>27</v>
      </c>
      <c r="D54" s="8" t="s">
        <v>28</v>
      </c>
      <c r="E54" s="8" t="s">
        <v>37</v>
      </c>
      <c r="F54" s="8"/>
      <c r="G54" s="8">
        <v>6500000</v>
      </c>
      <c r="H54" s="8"/>
      <c r="I54" s="7" t="s">
        <v>27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7" x14ac:dyDescent="0.2">
      <c r="A55" s="8" t="s">
        <v>98</v>
      </c>
      <c r="B55" s="11">
        <v>44975</v>
      </c>
      <c r="C55" s="8" t="s">
        <v>31</v>
      </c>
      <c r="D55" s="8" t="s">
        <v>32</v>
      </c>
      <c r="E55" s="8" t="s">
        <v>99</v>
      </c>
      <c r="F55" s="8">
        <v>1</v>
      </c>
      <c r="G55" s="8">
        <v>2500000</v>
      </c>
      <c r="H55" s="8"/>
      <c r="I55" s="7" t="s">
        <v>31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7" x14ac:dyDescent="0.2">
      <c r="A56" s="8" t="s">
        <v>100</v>
      </c>
      <c r="B56" s="11">
        <v>44975</v>
      </c>
      <c r="C56" s="8" t="s">
        <v>36</v>
      </c>
      <c r="D56" s="8"/>
      <c r="E56" s="8" t="s">
        <v>43</v>
      </c>
      <c r="F56" s="8">
        <v>2</v>
      </c>
      <c r="G56" s="8">
        <v>7500000</v>
      </c>
      <c r="H56" s="8"/>
      <c r="I56" s="7" t="s">
        <v>36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7" x14ac:dyDescent="0.2">
      <c r="A57" s="8" t="s">
        <v>101</v>
      </c>
      <c r="B57" s="11">
        <v>44976</v>
      </c>
      <c r="C57" s="8" t="s">
        <v>39</v>
      </c>
      <c r="D57" s="8" t="s">
        <v>28</v>
      </c>
      <c r="E57" s="8" t="s">
        <v>75</v>
      </c>
      <c r="F57" s="8">
        <v>1</v>
      </c>
      <c r="G57" s="8">
        <v>2100000</v>
      </c>
      <c r="H57" s="8"/>
      <c r="I57" s="7" t="s">
        <v>39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7" x14ac:dyDescent="0.2">
      <c r="A58" s="8" t="s">
        <v>102</v>
      </c>
      <c r="B58" s="11">
        <v>44977</v>
      </c>
      <c r="C58" s="8" t="s">
        <v>22</v>
      </c>
      <c r="D58" s="8" t="s">
        <v>23</v>
      </c>
      <c r="E58" s="8" t="s">
        <v>77</v>
      </c>
      <c r="F58" s="8">
        <v>4</v>
      </c>
      <c r="G58" s="8">
        <v>450</v>
      </c>
      <c r="H58" s="8"/>
      <c r="I58" s="7" t="s">
        <v>22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" x14ac:dyDescent="0.2">
      <c r="A59" s="8" t="s">
        <v>103</v>
      </c>
      <c r="B59" s="11">
        <v>44978</v>
      </c>
      <c r="C59" s="8" t="s">
        <v>27</v>
      </c>
      <c r="D59" s="8" t="s">
        <v>28</v>
      </c>
      <c r="E59" s="8" t="s">
        <v>24</v>
      </c>
      <c r="F59" s="8">
        <v>1</v>
      </c>
      <c r="G59" s="8">
        <v>450</v>
      </c>
      <c r="H59" s="8"/>
      <c r="I59" s="7" t="s">
        <v>27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7" x14ac:dyDescent="0.2">
      <c r="A60" s="8" t="s">
        <v>104</v>
      </c>
      <c r="B60" s="11">
        <v>44979</v>
      </c>
      <c r="C60" s="8" t="s">
        <v>31</v>
      </c>
      <c r="D60" s="8" t="s">
        <v>32</v>
      </c>
      <c r="E60" s="8" t="s">
        <v>29</v>
      </c>
      <c r="F60" s="8">
        <v>1</v>
      </c>
      <c r="G60" s="8">
        <v>1800000</v>
      </c>
      <c r="H60" s="8"/>
      <c r="I60" s="7" t="s">
        <v>31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7" x14ac:dyDescent="0.2">
      <c r="A61" s="8" t="s">
        <v>105</v>
      </c>
      <c r="B61" s="11">
        <v>44980</v>
      </c>
      <c r="C61" s="8" t="s">
        <v>36</v>
      </c>
      <c r="D61" s="8"/>
      <c r="E61" s="8" t="s">
        <v>33</v>
      </c>
      <c r="F61" s="8">
        <v>1</v>
      </c>
      <c r="G61" s="8">
        <v>2200000</v>
      </c>
      <c r="H61" s="8"/>
      <c r="I61" s="7" t="s">
        <v>36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7" x14ac:dyDescent="0.2">
      <c r="A62" s="8" t="s">
        <v>106</v>
      </c>
      <c r="B62" s="11">
        <v>44980</v>
      </c>
      <c r="C62" s="8" t="s">
        <v>39</v>
      </c>
      <c r="D62" s="8" t="s">
        <v>28</v>
      </c>
      <c r="E62" s="8" t="s">
        <v>37</v>
      </c>
      <c r="F62" s="8">
        <v>2</v>
      </c>
      <c r="G62" s="8">
        <v>6500000</v>
      </c>
      <c r="H62" s="8" t="s">
        <v>41</v>
      </c>
      <c r="I62" s="7" t="s">
        <v>39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7" x14ac:dyDescent="0.2">
      <c r="A63" s="8" t="s">
        <v>107</v>
      </c>
      <c r="B63" s="11">
        <v>44981</v>
      </c>
      <c r="C63" s="8" t="s">
        <v>22</v>
      </c>
      <c r="D63" s="8" t="s">
        <v>23</v>
      </c>
      <c r="E63" s="8" t="s">
        <v>40</v>
      </c>
      <c r="F63" s="8">
        <v>1</v>
      </c>
      <c r="G63" s="8">
        <v>2500000</v>
      </c>
      <c r="H63" s="8"/>
      <c r="I63" s="7" t="s">
        <v>22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7" x14ac:dyDescent="0.2">
      <c r="A64" s="8" t="s">
        <v>108</v>
      </c>
      <c r="B64" s="11">
        <v>44982</v>
      </c>
      <c r="C64" s="8" t="s">
        <v>27</v>
      </c>
      <c r="D64" s="8" t="s">
        <v>28</v>
      </c>
      <c r="E64" s="8" t="s">
        <v>109</v>
      </c>
      <c r="F64" s="8">
        <v>1</v>
      </c>
      <c r="G64" s="8">
        <v>7500000</v>
      </c>
      <c r="H64" s="8"/>
      <c r="I64" s="7" t="s">
        <v>27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7" x14ac:dyDescent="0.2">
      <c r="A65" s="8" t="s">
        <v>110</v>
      </c>
      <c r="B65" s="11">
        <v>44983</v>
      </c>
      <c r="C65" s="8" t="s">
        <v>31</v>
      </c>
      <c r="D65" s="8" t="s">
        <v>32</v>
      </c>
      <c r="E65" s="8" t="s">
        <v>75</v>
      </c>
      <c r="F65" s="8">
        <v>1</v>
      </c>
      <c r="G65" s="8">
        <v>2100000</v>
      </c>
      <c r="H65" s="8"/>
      <c r="I65" s="7" t="s">
        <v>31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7" x14ac:dyDescent="0.2">
      <c r="A66" s="8" t="s">
        <v>111</v>
      </c>
      <c r="B66" s="11">
        <v>44984</v>
      </c>
      <c r="C66" s="8" t="s">
        <v>36</v>
      </c>
      <c r="D66" s="8"/>
      <c r="E66" s="8" t="s">
        <v>77</v>
      </c>
      <c r="F66" s="8">
        <v>2</v>
      </c>
      <c r="G66" s="8">
        <v>450</v>
      </c>
      <c r="H66" s="8"/>
      <c r="I66" s="7" t="s">
        <v>36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7" x14ac:dyDescent="0.2">
      <c r="A67" s="8" t="s">
        <v>112</v>
      </c>
      <c r="B67" s="11">
        <v>44985</v>
      </c>
      <c r="C67" s="8" t="s">
        <v>39</v>
      </c>
      <c r="D67" s="8" t="s">
        <v>28</v>
      </c>
      <c r="E67" s="8" t="s">
        <v>24</v>
      </c>
      <c r="F67" s="8">
        <v>1</v>
      </c>
      <c r="G67" s="8">
        <v>25000000</v>
      </c>
      <c r="H67" s="8"/>
      <c r="I67" s="7" t="s">
        <v>39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7" x14ac:dyDescent="0.2">
      <c r="A68" s="8" t="s">
        <v>113</v>
      </c>
      <c r="B68" s="11">
        <v>44929</v>
      </c>
      <c r="C68" s="8" t="s">
        <v>22</v>
      </c>
      <c r="D68" s="8" t="s">
        <v>69</v>
      </c>
      <c r="E68" s="8" t="s">
        <v>29</v>
      </c>
      <c r="F68" s="8">
        <v>2</v>
      </c>
      <c r="G68" s="8">
        <v>1800000</v>
      </c>
      <c r="H68" s="8"/>
      <c r="I68" s="7" t="s">
        <v>22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7" x14ac:dyDescent="0.2">
      <c r="A69" s="8" t="s">
        <v>114</v>
      </c>
      <c r="B69" s="11">
        <v>44960</v>
      </c>
      <c r="C69" s="8" t="s">
        <v>27</v>
      </c>
      <c r="D69" s="8" t="s">
        <v>28</v>
      </c>
      <c r="E69" s="8" t="s">
        <v>33</v>
      </c>
      <c r="F69" s="8">
        <v>1</v>
      </c>
      <c r="G69" s="8">
        <v>2200000</v>
      </c>
      <c r="H69" s="8"/>
      <c r="I69" s="7" t="s">
        <v>27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7" x14ac:dyDescent="0.2">
      <c r="A70" s="8" t="s">
        <v>115</v>
      </c>
      <c r="B70" s="11">
        <v>44960</v>
      </c>
      <c r="C70" s="8" t="s">
        <v>31</v>
      </c>
      <c r="D70" s="8" t="s">
        <v>32</v>
      </c>
      <c r="E70" s="8" t="s">
        <v>37</v>
      </c>
      <c r="F70" s="8">
        <v>1</v>
      </c>
      <c r="G70" s="8">
        <v>6500000</v>
      </c>
      <c r="H70" s="8"/>
      <c r="I70" s="7" t="s">
        <v>31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7" x14ac:dyDescent="0.2">
      <c r="A71" s="8" t="s">
        <v>116</v>
      </c>
      <c r="B71" s="11">
        <v>44988</v>
      </c>
      <c r="C71" s="8" t="s">
        <v>36</v>
      </c>
      <c r="D71" s="8"/>
      <c r="E71" s="8" t="s">
        <v>40</v>
      </c>
      <c r="F71" s="8">
        <v>3</v>
      </c>
      <c r="G71" s="8">
        <v>2500000</v>
      </c>
      <c r="H71" s="8"/>
      <c r="I71" s="7" t="s">
        <v>36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7" x14ac:dyDescent="0.2">
      <c r="A72" s="8" t="s">
        <v>117</v>
      </c>
      <c r="B72" s="11">
        <v>45019</v>
      </c>
      <c r="C72" s="8" t="s">
        <v>39</v>
      </c>
      <c r="D72" s="8" t="s">
        <v>28</v>
      </c>
      <c r="E72" s="8" t="s">
        <v>43</v>
      </c>
      <c r="F72" s="8">
        <v>1</v>
      </c>
      <c r="G72" s="8">
        <v>7500000</v>
      </c>
      <c r="H72" s="8"/>
      <c r="I72" s="7" t="s">
        <v>39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7" x14ac:dyDescent="0.2">
      <c r="A73" s="8" t="s">
        <v>118</v>
      </c>
      <c r="B73" s="11">
        <v>45049</v>
      </c>
      <c r="C73" s="8" t="s">
        <v>22</v>
      </c>
      <c r="D73" s="8" t="s">
        <v>23</v>
      </c>
      <c r="E73" s="8" t="s">
        <v>75</v>
      </c>
      <c r="F73" s="8">
        <v>1</v>
      </c>
      <c r="G73" s="8">
        <v>2100000</v>
      </c>
      <c r="H73" s="8"/>
      <c r="I73" s="7" t="s">
        <v>22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7" x14ac:dyDescent="0.2">
      <c r="A74" s="8" t="s">
        <v>119</v>
      </c>
      <c r="B74" s="11">
        <v>45049</v>
      </c>
      <c r="C74" s="8" t="s">
        <v>27</v>
      </c>
      <c r="D74" s="8" t="s">
        <v>28</v>
      </c>
      <c r="E74" s="8" t="s">
        <v>77</v>
      </c>
      <c r="F74" s="8">
        <v>3</v>
      </c>
      <c r="G74" s="8">
        <v>450</v>
      </c>
      <c r="H74" s="8"/>
      <c r="I74" s="7" t="s">
        <v>27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7" x14ac:dyDescent="0.2">
      <c r="A75" s="8" t="s">
        <v>120</v>
      </c>
      <c r="B75" s="11">
        <v>45080</v>
      </c>
      <c r="C75" s="8" t="s">
        <v>31</v>
      </c>
      <c r="D75" s="8" t="s">
        <v>32</v>
      </c>
      <c r="E75" s="8" t="s">
        <v>60</v>
      </c>
      <c r="F75" s="8">
        <v>1</v>
      </c>
      <c r="G75" s="8">
        <v>25000000</v>
      </c>
      <c r="H75" s="8" t="s">
        <v>34</v>
      </c>
      <c r="I75" s="7" t="s">
        <v>31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7" x14ac:dyDescent="0.2">
      <c r="A76" s="8" t="s">
        <v>121</v>
      </c>
      <c r="B76" s="11">
        <v>45110</v>
      </c>
      <c r="C76" s="8" t="s">
        <v>36</v>
      </c>
      <c r="D76" s="8"/>
      <c r="E76" s="8" t="s">
        <v>29</v>
      </c>
      <c r="F76" s="8"/>
      <c r="G76" s="8">
        <v>1800000</v>
      </c>
      <c r="H76" s="8"/>
      <c r="I76" s="7" t="s">
        <v>36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7" x14ac:dyDescent="0.2">
      <c r="A77" s="8" t="s">
        <v>122</v>
      </c>
      <c r="B77" s="11">
        <v>45141</v>
      </c>
      <c r="C77" s="8" t="s">
        <v>39</v>
      </c>
      <c r="D77" s="8" t="s">
        <v>28</v>
      </c>
      <c r="E77" s="8" t="s">
        <v>33</v>
      </c>
      <c r="F77" s="8">
        <v>2</v>
      </c>
      <c r="G77" s="8">
        <v>2200000</v>
      </c>
      <c r="H77" s="8"/>
      <c r="I77" s="7" t="s">
        <v>39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7" x14ac:dyDescent="0.2">
      <c r="A78" s="8" t="s">
        <v>123</v>
      </c>
      <c r="B78" s="11">
        <v>45141</v>
      </c>
      <c r="C78" s="8" t="s">
        <v>22</v>
      </c>
      <c r="D78" s="8" t="s">
        <v>23</v>
      </c>
      <c r="E78" s="8" t="s">
        <v>37</v>
      </c>
      <c r="F78" s="8">
        <v>1</v>
      </c>
      <c r="G78" s="8">
        <v>6500000</v>
      </c>
      <c r="H78" s="8"/>
      <c r="I78" s="7" t="s">
        <v>22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7" x14ac:dyDescent="0.2">
      <c r="A79" s="8" t="s">
        <v>124</v>
      </c>
      <c r="B79" s="11">
        <v>45172</v>
      </c>
      <c r="C79" s="8" t="s">
        <v>27</v>
      </c>
      <c r="D79" s="8" t="s">
        <v>28</v>
      </c>
      <c r="E79" s="8" t="s">
        <v>40</v>
      </c>
      <c r="F79" s="8">
        <v>1</v>
      </c>
      <c r="G79" s="8">
        <v>2500000</v>
      </c>
      <c r="H79" s="8" t="s">
        <v>55</v>
      </c>
      <c r="I79" s="7" t="s">
        <v>27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7" x14ac:dyDescent="0.2">
      <c r="A80" s="8" t="s">
        <v>125</v>
      </c>
      <c r="B80" s="11">
        <v>45202</v>
      </c>
      <c r="C80" s="8" t="s">
        <v>31</v>
      </c>
      <c r="D80" s="8" t="s">
        <v>32</v>
      </c>
      <c r="E80" s="8" t="s">
        <v>43</v>
      </c>
      <c r="F80" s="8">
        <v>1</v>
      </c>
      <c r="G80" s="8">
        <v>7500000</v>
      </c>
      <c r="H80" s="8"/>
      <c r="I80" s="7" t="s">
        <v>31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7" x14ac:dyDescent="0.2">
      <c r="A81" s="8" t="s">
        <v>126</v>
      </c>
      <c r="B81" s="11">
        <v>45233</v>
      </c>
      <c r="C81" s="8" t="s">
        <v>36</v>
      </c>
      <c r="D81" s="8"/>
      <c r="E81" s="8" t="s">
        <v>75</v>
      </c>
      <c r="F81" s="8">
        <v>2</v>
      </c>
      <c r="G81" s="8">
        <v>2100000</v>
      </c>
      <c r="H81" s="8"/>
      <c r="I81" s="7" t="s">
        <v>36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7" x14ac:dyDescent="0.2">
      <c r="A82" s="8" t="s">
        <v>127</v>
      </c>
      <c r="B82" s="11">
        <v>45233</v>
      </c>
      <c r="C82" s="8" t="s">
        <v>39</v>
      </c>
      <c r="D82" s="8" t="s">
        <v>28</v>
      </c>
      <c r="E82" s="8" t="s">
        <v>60</v>
      </c>
      <c r="F82" s="8">
        <v>1</v>
      </c>
      <c r="G82" s="8">
        <v>7500000</v>
      </c>
      <c r="H82" s="8"/>
      <c r="I82" s="7" t="s">
        <v>39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7" x14ac:dyDescent="0.2">
      <c r="A83" s="8" t="s">
        <v>128</v>
      </c>
      <c r="B83" s="11">
        <v>45263</v>
      </c>
      <c r="C83" s="8" t="s">
        <v>22</v>
      </c>
      <c r="D83" s="8" t="s">
        <v>23</v>
      </c>
      <c r="E83" s="8" t="s">
        <v>24</v>
      </c>
      <c r="F83" s="8">
        <v>1</v>
      </c>
      <c r="G83" s="8">
        <v>25000000</v>
      </c>
      <c r="H83" s="8"/>
      <c r="I83" s="7" t="s">
        <v>22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7" x14ac:dyDescent="0.2">
      <c r="A84" s="8" t="s">
        <v>129</v>
      </c>
      <c r="B84" s="11">
        <v>44998</v>
      </c>
      <c r="C84" s="8" t="s">
        <v>27</v>
      </c>
      <c r="D84" s="8" t="s">
        <v>28</v>
      </c>
      <c r="E84" s="8" t="s">
        <v>53</v>
      </c>
      <c r="F84" s="8">
        <v>1</v>
      </c>
      <c r="G84" s="8">
        <v>1800000</v>
      </c>
      <c r="H84" s="8"/>
      <c r="I84" s="7" t="s">
        <v>27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7" x14ac:dyDescent="0.2">
      <c r="A85" s="8" t="s">
        <v>130</v>
      </c>
      <c r="B85" s="11">
        <v>44999</v>
      </c>
      <c r="C85" s="8" t="s">
        <v>31</v>
      </c>
      <c r="D85" s="8" t="s">
        <v>32</v>
      </c>
      <c r="E85" s="8" t="s">
        <v>33</v>
      </c>
      <c r="F85" s="8">
        <v>1</v>
      </c>
      <c r="G85" s="8">
        <v>2200000</v>
      </c>
      <c r="H85" s="8"/>
      <c r="I85" s="7" t="s">
        <v>31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7" x14ac:dyDescent="0.2">
      <c r="A86" s="8" t="s">
        <v>131</v>
      </c>
      <c r="B86" s="11">
        <v>45000</v>
      </c>
      <c r="C86" s="8" t="s">
        <v>36</v>
      </c>
      <c r="D86" s="8"/>
      <c r="E86" s="8" t="s">
        <v>37</v>
      </c>
      <c r="F86" s="8">
        <v>1</v>
      </c>
      <c r="G86" s="8">
        <v>6500000</v>
      </c>
      <c r="H86" s="8"/>
      <c r="I86" s="7" t="s">
        <v>36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7" x14ac:dyDescent="0.2">
      <c r="A87" s="8" t="s">
        <v>132</v>
      </c>
      <c r="B87" s="11">
        <v>45000</v>
      </c>
      <c r="C87" s="8" t="s">
        <v>39</v>
      </c>
      <c r="D87" s="8" t="s">
        <v>28</v>
      </c>
      <c r="E87" s="8" t="s">
        <v>40</v>
      </c>
      <c r="F87" s="8">
        <v>5</v>
      </c>
      <c r="G87" s="8">
        <v>2500000</v>
      </c>
      <c r="H87" s="8" t="s">
        <v>41</v>
      </c>
      <c r="I87" s="7" t="s">
        <v>39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7" x14ac:dyDescent="0.2">
      <c r="A88" s="8" t="s">
        <v>132</v>
      </c>
      <c r="B88" s="11">
        <v>45000</v>
      </c>
      <c r="C88" s="8" t="s">
        <v>39</v>
      </c>
      <c r="D88" s="8" t="s">
        <v>28</v>
      </c>
      <c r="E88" s="8" t="s">
        <v>40</v>
      </c>
      <c r="F88" s="8">
        <v>5</v>
      </c>
      <c r="G88" s="8">
        <v>2500000</v>
      </c>
      <c r="H88" s="8" t="s">
        <v>41</v>
      </c>
      <c r="I88" s="7" t="s">
        <v>39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7" x14ac:dyDescent="0.2">
      <c r="A89" s="8" t="s">
        <v>133</v>
      </c>
      <c r="B89" s="11">
        <v>45001</v>
      </c>
      <c r="C89" s="8" t="s">
        <v>22</v>
      </c>
      <c r="D89" s="8" t="s">
        <v>23</v>
      </c>
      <c r="E89" s="8" t="s">
        <v>43</v>
      </c>
      <c r="F89" s="8">
        <v>1</v>
      </c>
      <c r="G89" s="8">
        <v>7500000</v>
      </c>
      <c r="H89" s="8"/>
      <c r="I89" s="7" t="s">
        <v>22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7" x14ac:dyDescent="0.2">
      <c r="A90" s="8" t="s">
        <v>134</v>
      </c>
      <c r="B90" s="11">
        <v>45002</v>
      </c>
      <c r="C90" s="8" t="s">
        <v>27</v>
      </c>
      <c r="D90" s="8" t="s">
        <v>28</v>
      </c>
      <c r="E90" s="8" t="s">
        <v>75</v>
      </c>
      <c r="F90" s="8">
        <v>1</v>
      </c>
      <c r="G90" s="8">
        <v>2100000</v>
      </c>
      <c r="H90" s="8"/>
      <c r="I90" s="7" t="s">
        <v>27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7" x14ac:dyDescent="0.2">
      <c r="A91" s="8" t="s">
        <v>135</v>
      </c>
      <c r="B91" s="11">
        <v>45003</v>
      </c>
      <c r="C91" s="8" t="s">
        <v>31</v>
      </c>
      <c r="D91" s="8" t="s">
        <v>32</v>
      </c>
      <c r="E91" s="8" t="s">
        <v>77</v>
      </c>
      <c r="F91" s="8">
        <v>2</v>
      </c>
      <c r="G91" s="8">
        <v>450</v>
      </c>
      <c r="H91" s="8"/>
      <c r="I91" s="7" t="s">
        <v>31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7" x14ac:dyDescent="0.2">
      <c r="A92" s="8" t="s">
        <v>136</v>
      </c>
      <c r="B92" s="11">
        <v>45003</v>
      </c>
      <c r="C92" s="8" t="s">
        <v>36</v>
      </c>
      <c r="D92" s="8"/>
      <c r="E92" s="8" t="s">
        <v>24</v>
      </c>
      <c r="F92" s="8">
        <v>1</v>
      </c>
      <c r="G92" s="8">
        <v>25000000</v>
      </c>
      <c r="H92" s="8"/>
      <c r="I92" s="7" t="s">
        <v>36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7" x14ac:dyDescent="0.2">
      <c r="A93" s="8" t="s">
        <v>137</v>
      </c>
      <c r="B93" s="11">
        <v>45004</v>
      </c>
      <c r="C93" s="8" t="s">
        <v>39</v>
      </c>
      <c r="D93" s="8" t="s">
        <v>28</v>
      </c>
      <c r="E93" s="8" t="s">
        <v>29</v>
      </c>
      <c r="F93" s="8">
        <v>2</v>
      </c>
      <c r="G93" s="8">
        <v>1800000</v>
      </c>
      <c r="H93" s="8"/>
      <c r="I93" s="7" t="s">
        <v>39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7" x14ac:dyDescent="0.2">
      <c r="A94" s="8" t="s">
        <v>138</v>
      </c>
      <c r="B94" s="11">
        <v>45005</v>
      </c>
      <c r="C94" s="8" t="s">
        <v>22</v>
      </c>
      <c r="D94" s="8" t="s">
        <v>23</v>
      </c>
      <c r="E94" s="8" t="s">
        <v>33</v>
      </c>
      <c r="F94" s="8">
        <v>1</v>
      </c>
      <c r="G94" s="8">
        <v>2200000</v>
      </c>
      <c r="H94" s="8"/>
      <c r="I94" s="7" t="s">
        <v>22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7" x14ac:dyDescent="0.2">
      <c r="A95" s="8" t="s">
        <v>139</v>
      </c>
      <c r="B95" s="11">
        <v>45006</v>
      </c>
      <c r="C95" s="8" t="s">
        <v>27</v>
      </c>
      <c r="D95" s="8" t="s">
        <v>28</v>
      </c>
      <c r="E95" s="8" t="s">
        <v>37</v>
      </c>
      <c r="F95" s="8">
        <v>1</v>
      </c>
      <c r="G95" s="8">
        <v>6500000</v>
      </c>
      <c r="H95" s="8"/>
      <c r="I95" s="7" t="s">
        <v>27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7" x14ac:dyDescent="0.2">
      <c r="A96" s="8" t="s">
        <v>140</v>
      </c>
      <c r="B96" s="11">
        <v>45007</v>
      </c>
      <c r="C96" s="8" t="s">
        <v>31</v>
      </c>
      <c r="D96" s="8" t="s">
        <v>32</v>
      </c>
      <c r="E96" s="8" t="s">
        <v>40</v>
      </c>
      <c r="F96" s="8">
        <v>1</v>
      </c>
      <c r="G96" s="8">
        <v>2500000</v>
      </c>
      <c r="H96" s="8"/>
      <c r="I96" s="7" t="s">
        <v>31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7" x14ac:dyDescent="0.2">
      <c r="A97" s="8" t="s">
        <v>141</v>
      </c>
      <c r="B97" s="11">
        <v>45008</v>
      </c>
      <c r="C97" s="8" t="s">
        <v>36</v>
      </c>
      <c r="D97" s="8"/>
      <c r="E97" s="8" t="s">
        <v>109</v>
      </c>
      <c r="F97" s="8">
        <v>1</v>
      </c>
      <c r="G97" s="8">
        <v>7500000</v>
      </c>
      <c r="H97" s="8"/>
      <c r="I97" s="7" t="s">
        <v>36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7" x14ac:dyDescent="0.2">
      <c r="A98" s="8" t="s">
        <v>142</v>
      </c>
      <c r="B98" s="11">
        <v>45008</v>
      </c>
      <c r="C98" s="8" t="s">
        <v>39</v>
      </c>
      <c r="D98" s="8" t="s">
        <v>28</v>
      </c>
      <c r="E98" s="8" t="s">
        <v>75</v>
      </c>
      <c r="F98" s="8">
        <v>3</v>
      </c>
      <c r="G98" s="8">
        <v>2100000</v>
      </c>
      <c r="H98" s="8"/>
      <c r="I98" s="7" t="s">
        <v>39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7" x14ac:dyDescent="0.2">
      <c r="A99" s="8" t="s">
        <v>143</v>
      </c>
      <c r="B99" s="11">
        <v>45009</v>
      </c>
      <c r="C99" s="8" t="s">
        <v>22</v>
      </c>
      <c r="D99" s="8" t="s">
        <v>23</v>
      </c>
      <c r="E99" s="8" t="s">
        <v>77</v>
      </c>
      <c r="F99" s="8">
        <v>1</v>
      </c>
      <c r="G99" s="8">
        <v>450</v>
      </c>
      <c r="H99" s="8"/>
      <c r="I99" s="7" t="s">
        <v>22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7" x14ac:dyDescent="0.2">
      <c r="A100" s="8" t="s">
        <v>144</v>
      </c>
      <c r="B100" s="11">
        <v>45375</v>
      </c>
      <c r="C100" s="8" t="s">
        <v>27</v>
      </c>
      <c r="D100" s="8" t="s">
        <v>28</v>
      </c>
      <c r="E100" s="8" t="s">
        <v>24</v>
      </c>
      <c r="F100" s="8">
        <v>1</v>
      </c>
      <c r="G100" s="8">
        <v>25000000</v>
      </c>
      <c r="H100" s="8"/>
      <c r="I100" s="7" t="s">
        <v>27</v>
      </c>
      <c r="J10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D5BB-9AA3-3340-B821-953DB29DD57B}">
  <dimension ref="A1:D4"/>
  <sheetViews>
    <sheetView workbookViewId="0">
      <selection activeCell="D10" sqref="D10"/>
    </sheetView>
  </sheetViews>
  <sheetFormatPr baseColWidth="10" defaultRowHeight="16" x14ac:dyDescent="0.2"/>
  <cols>
    <col min="1" max="1" width="17" customWidth="1"/>
    <col min="2" max="2" width="14.6640625" customWidth="1"/>
    <col min="4" max="4" width="15.33203125" customWidth="1"/>
  </cols>
  <sheetData>
    <row r="1" spans="1:4" x14ac:dyDescent="0.2">
      <c r="A1" t="s">
        <v>0</v>
      </c>
      <c r="B1" t="str">
        <f>PROPER(A1)</f>
        <v>Nguyễn Văn An</v>
      </c>
      <c r="D1" t="str">
        <f>PROPER(TRIM(A1))</f>
        <v>Nguyễn Văn An</v>
      </c>
    </row>
    <row r="2" spans="1:4" x14ac:dyDescent="0.2">
      <c r="A2" t="s">
        <v>1</v>
      </c>
      <c r="B2" t="str">
        <f t="shared" ref="B2:B4" si="0">PROPER(A2)</f>
        <v>Le Thi Bich</v>
      </c>
      <c r="D2" t="str">
        <f t="shared" ref="D2:D4" si="1">PROPER(TRIM(A2))</f>
        <v>Le Thi Bich</v>
      </c>
    </row>
    <row r="3" spans="1:4" x14ac:dyDescent="0.2">
      <c r="A3" t="s">
        <v>2</v>
      </c>
      <c r="B3" t="str">
        <f t="shared" si="0"/>
        <v>Tran Van Cuong</v>
      </c>
      <c r="D3" t="str">
        <f t="shared" si="1"/>
        <v>Tran Van Cuong</v>
      </c>
    </row>
    <row r="4" spans="1:4" x14ac:dyDescent="0.2">
      <c r="A4" t="s">
        <v>3</v>
      </c>
      <c r="B4" t="str">
        <f t="shared" si="0"/>
        <v>Pham Thi Dung</v>
      </c>
      <c r="D4" t="str">
        <f t="shared" si="1"/>
        <v>Pham Thi Dung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A387-619E-7E4C-AEBC-6422E245989A}">
  <dimension ref="A1:G4"/>
  <sheetViews>
    <sheetView workbookViewId="0">
      <selection activeCell="G30" sqref="G30"/>
    </sheetView>
  </sheetViews>
  <sheetFormatPr baseColWidth="10" defaultRowHeight="16" x14ac:dyDescent="0.2"/>
  <cols>
    <col min="2" max="2" width="11.1640625" bestFit="1" customWidth="1"/>
    <col min="5" max="5" width="14.6640625" customWidth="1"/>
    <col min="7" max="7" width="12" customWidth="1"/>
  </cols>
  <sheetData>
    <row r="1" spans="1:7" x14ac:dyDescent="0.2">
      <c r="A1" t="s">
        <v>145</v>
      </c>
      <c r="B1" s="2">
        <v>909123456</v>
      </c>
      <c r="C1" t="s">
        <v>146</v>
      </c>
      <c r="E1" t="str">
        <f>PROPER(TRIM(A1))</f>
        <v>Nguyen Van Hung</v>
      </c>
      <c r="F1" s="2">
        <v>909123456</v>
      </c>
      <c r="G1" t="str">
        <f>UPPER(TRIM(C1))</f>
        <v>HA NOI</v>
      </c>
    </row>
    <row r="2" spans="1:7" x14ac:dyDescent="0.2">
      <c r="A2" t="s">
        <v>147</v>
      </c>
      <c r="B2" s="2">
        <v>912345678</v>
      </c>
      <c r="C2" t="s">
        <v>148</v>
      </c>
      <c r="E2" t="str">
        <f t="shared" ref="E2:E4" si="0">PROPER(TRIM(A2))</f>
        <v>Tran Thi Mai</v>
      </c>
      <c r="F2" s="2">
        <v>912345678</v>
      </c>
      <c r="G2" t="str">
        <f t="shared" ref="G2:G4" si="1">UPPER(TRIM(C2))</f>
        <v>HO CHI MINH</v>
      </c>
    </row>
    <row r="3" spans="1:7" x14ac:dyDescent="0.2">
      <c r="A3" t="s">
        <v>149</v>
      </c>
      <c r="B3" s="2">
        <v>988888888</v>
      </c>
      <c r="C3" t="s">
        <v>150</v>
      </c>
      <c r="E3" t="str">
        <f t="shared" si="0"/>
        <v>Le Van Tam</v>
      </c>
      <c r="F3" s="2">
        <v>988888888</v>
      </c>
      <c r="G3" t="str">
        <f t="shared" si="1"/>
        <v>DA NANG</v>
      </c>
    </row>
    <row r="4" spans="1:7" x14ac:dyDescent="0.2">
      <c r="A4" t="s">
        <v>151</v>
      </c>
      <c r="B4" s="2">
        <v>977777777</v>
      </c>
      <c r="C4" t="s">
        <v>152</v>
      </c>
      <c r="E4" t="str">
        <f t="shared" si="0"/>
        <v>Hoang Thi Lan</v>
      </c>
      <c r="F4" s="2">
        <v>977777777</v>
      </c>
      <c r="G4" t="str">
        <f t="shared" si="1"/>
        <v>CAN THO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2026-01-16T02:26:44Z</dcterms:created>
  <dcterms:modified xsi:type="dcterms:W3CDTF">2026-01-16T03:53:26Z</dcterms:modified>
</cp:coreProperties>
</file>