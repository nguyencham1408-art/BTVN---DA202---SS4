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admin/Documents/"/>
    </mc:Choice>
  </mc:AlternateContent>
  <xr:revisionPtr revIDLastSave="0" documentId="8_{88915F38-0F70-1D47-9E14-42733EC6B01A}" xr6:coauthVersionLast="47" xr6:coauthVersionMax="47" xr10:uidLastSave="{00000000-0000-0000-0000-000000000000}"/>
  <bookViews>
    <workbookView xWindow="0" yWindow="0" windowWidth="28800" windowHeight="18000" xr2:uid="{11479E1E-35C7-9645-A8AA-536EB0FCE6D2}"/>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6" i="1" l="1"/>
  <c r="M146" i="1"/>
  <c r="L146" i="1"/>
  <c r="K146" i="1"/>
  <c r="J146" i="1"/>
  <c r="M145" i="1"/>
  <c r="L145" i="1"/>
  <c r="K145" i="1"/>
  <c r="J145" i="1"/>
  <c r="M100" i="1"/>
  <c r="L100" i="1"/>
  <c r="K100" i="1"/>
  <c r="J100" i="1"/>
  <c r="M99" i="1"/>
  <c r="L99" i="1"/>
  <c r="K99" i="1"/>
  <c r="J99" i="1"/>
  <c r="M98" i="1"/>
  <c r="L98" i="1"/>
  <c r="K98" i="1"/>
  <c r="J98" i="1"/>
  <c r="M43" i="1"/>
  <c r="L43" i="1"/>
  <c r="K43" i="1"/>
  <c r="J43" i="1"/>
  <c r="M42" i="1"/>
  <c r="L42" i="1"/>
  <c r="K42" i="1"/>
  <c r="J42" i="1"/>
  <c r="M97" i="1"/>
  <c r="L97" i="1"/>
  <c r="K97" i="1"/>
  <c r="J97" i="1"/>
  <c r="M144" i="1"/>
  <c r="L144" i="1"/>
  <c r="K144" i="1"/>
  <c r="J144" i="1"/>
  <c r="M143" i="1"/>
  <c r="L143" i="1"/>
  <c r="K143" i="1"/>
  <c r="J143" i="1"/>
  <c r="M96" i="1"/>
  <c r="L96" i="1"/>
  <c r="K96" i="1"/>
  <c r="J96" i="1"/>
  <c r="M142" i="1"/>
  <c r="L142" i="1"/>
  <c r="K142" i="1"/>
  <c r="J142" i="1"/>
  <c r="M41" i="1"/>
  <c r="L41" i="1"/>
  <c r="K41" i="1"/>
  <c r="J41" i="1"/>
  <c r="M40" i="1"/>
  <c r="L40" i="1"/>
  <c r="K40" i="1"/>
  <c r="J40" i="1"/>
  <c r="M95" i="1"/>
  <c r="L95" i="1"/>
  <c r="K95" i="1"/>
  <c r="J95" i="1"/>
  <c r="M39" i="1"/>
  <c r="L39" i="1"/>
  <c r="K39" i="1"/>
  <c r="J39" i="1"/>
  <c r="M141" i="1"/>
  <c r="L141" i="1"/>
  <c r="K141" i="1"/>
  <c r="J141" i="1"/>
  <c r="M94" i="1"/>
  <c r="L94" i="1"/>
  <c r="K94" i="1"/>
  <c r="J94" i="1"/>
  <c r="M38" i="1"/>
  <c r="L38" i="1"/>
  <c r="K38" i="1"/>
  <c r="J38" i="1"/>
  <c r="M140" i="1"/>
  <c r="L140" i="1"/>
  <c r="K140" i="1"/>
  <c r="J140" i="1"/>
  <c r="M139" i="1"/>
  <c r="L139" i="1"/>
  <c r="K139" i="1"/>
  <c r="J139" i="1"/>
  <c r="M138" i="1"/>
  <c r="L138" i="1"/>
  <c r="K138" i="1"/>
  <c r="J138" i="1"/>
  <c r="M137" i="1"/>
  <c r="L137" i="1"/>
  <c r="K137" i="1"/>
  <c r="J137" i="1"/>
  <c r="M37" i="1"/>
  <c r="L37" i="1"/>
  <c r="K37" i="1"/>
  <c r="J37" i="1"/>
  <c r="M93" i="1"/>
  <c r="L93" i="1"/>
  <c r="K93" i="1"/>
  <c r="J93" i="1"/>
  <c r="M92" i="1"/>
  <c r="L92" i="1"/>
  <c r="K92" i="1"/>
  <c r="J92" i="1"/>
  <c r="M136" i="1"/>
  <c r="L136" i="1"/>
  <c r="K136" i="1"/>
  <c r="J136" i="1"/>
  <c r="M91" i="1"/>
  <c r="L91" i="1"/>
  <c r="K91" i="1"/>
  <c r="J91" i="1"/>
  <c r="M90" i="1"/>
  <c r="L90" i="1"/>
  <c r="K90" i="1"/>
  <c r="J90" i="1"/>
  <c r="M36" i="1"/>
  <c r="L36" i="1"/>
  <c r="K36" i="1"/>
  <c r="J36" i="1"/>
  <c r="M89" i="1"/>
  <c r="L89" i="1"/>
  <c r="K89" i="1"/>
  <c r="J89" i="1"/>
  <c r="M35" i="1"/>
  <c r="L35" i="1"/>
  <c r="K35" i="1"/>
  <c r="J35" i="1"/>
  <c r="M135" i="1"/>
  <c r="L135" i="1"/>
  <c r="K135" i="1"/>
  <c r="J135" i="1"/>
  <c r="M88" i="1"/>
  <c r="L88" i="1"/>
  <c r="K88" i="1"/>
  <c r="J88" i="1"/>
  <c r="M134" i="1"/>
  <c r="L134" i="1"/>
  <c r="K134" i="1"/>
  <c r="J134" i="1"/>
  <c r="M34" i="1"/>
  <c r="L34" i="1"/>
  <c r="K34" i="1"/>
  <c r="J34" i="1"/>
  <c r="M133" i="1"/>
  <c r="L133" i="1"/>
  <c r="K133" i="1"/>
  <c r="J133" i="1"/>
  <c r="M33" i="1"/>
  <c r="L33" i="1"/>
  <c r="K33" i="1"/>
  <c r="J33" i="1"/>
  <c r="M87" i="1"/>
  <c r="L87" i="1"/>
  <c r="K87" i="1"/>
  <c r="J87" i="1"/>
  <c r="M86" i="1"/>
  <c r="L86" i="1"/>
  <c r="K86" i="1"/>
  <c r="J86" i="1"/>
  <c r="M32" i="1"/>
  <c r="L32" i="1"/>
  <c r="K32" i="1"/>
  <c r="J32" i="1"/>
  <c r="M155" i="1"/>
  <c r="L155" i="1"/>
  <c r="K155" i="1"/>
  <c r="J155" i="1"/>
  <c r="M31" i="1"/>
  <c r="L31" i="1"/>
  <c r="K31" i="1"/>
  <c r="J31" i="1"/>
  <c r="M30" i="1"/>
  <c r="L30" i="1"/>
  <c r="K30" i="1"/>
  <c r="J30" i="1"/>
  <c r="M132" i="1"/>
  <c r="L132" i="1"/>
  <c r="K132" i="1"/>
  <c r="J132" i="1"/>
  <c r="M85" i="1"/>
  <c r="L85" i="1"/>
  <c r="K85" i="1"/>
  <c r="J85" i="1"/>
  <c r="M131" i="1"/>
  <c r="L131" i="1"/>
  <c r="K131" i="1"/>
  <c r="J131" i="1"/>
  <c r="M130" i="1"/>
  <c r="L130" i="1"/>
  <c r="K130" i="1"/>
  <c r="J130" i="1"/>
  <c r="M84" i="1"/>
  <c r="L84" i="1"/>
  <c r="K84" i="1"/>
  <c r="J84" i="1"/>
  <c r="M83" i="1"/>
  <c r="L83" i="1"/>
  <c r="K83" i="1"/>
  <c r="J83" i="1"/>
  <c r="M82" i="1"/>
  <c r="L82" i="1"/>
  <c r="K82" i="1"/>
  <c r="J82" i="1"/>
  <c r="M129" i="1"/>
  <c r="L129" i="1"/>
  <c r="K129" i="1"/>
  <c r="J129" i="1"/>
  <c r="M128" i="1"/>
  <c r="L128" i="1"/>
  <c r="K128" i="1"/>
  <c r="J128" i="1"/>
  <c r="M154" i="1"/>
  <c r="L154" i="1"/>
  <c r="K154" i="1"/>
  <c r="J154" i="1"/>
  <c r="M81" i="1"/>
  <c r="L81" i="1"/>
  <c r="K81" i="1"/>
  <c r="J81" i="1"/>
  <c r="M127" i="1"/>
  <c r="L127" i="1"/>
  <c r="K127" i="1"/>
  <c r="J127" i="1"/>
  <c r="M29" i="1"/>
  <c r="L29" i="1"/>
  <c r="K29" i="1"/>
  <c r="J29" i="1"/>
  <c r="M28" i="1"/>
  <c r="L28" i="1"/>
  <c r="K28" i="1"/>
  <c r="J28" i="1"/>
  <c r="M27" i="1"/>
  <c r="L27" i="1"/>
  <c r="K27" i="1"/>
  <c r="J27" i="1"/>
  <c r="M126" i="1"/>
  <c r="L126" i="1"/>
  <c r="K126" i="1"/>
  <c r="J126" i="1"/>
  <c r="M80" i="1"/>
  <c r="L80" i="1"/>
  <c r="K80" i="1"/>
  <c r="J80" i="1"/>
  <c r="M26" i="1"/>
  <c r="L26" i="1"/>
  <c r="K26" i="1"/>
  <c r="J26" i="1"/>
  <c r="M79" i="1"/>
  <c r="L79" i="1"/>
  <c r="K79" i="1"/>
  <c r="J79" i="1"/>
  <c r="M125" i="1"/>
  <c r="L125" i="1"/>
  <c r="K125" i="1"/>
  <c r="J125" i="1"/>
  <c r="M124" i="1"/>
  <c r="L124" i="1"/>
  <c r="K124" i="1"/>
  <c r="J124" i="1"/>
  <c r="M153" i="1"/>
  <c r="L153" i="1"/>
  <c r="K153" i="1"/>
  <c r="J153" i="1"/>
  <c r="M123" i="1"/>
  <c r="L123" i="1"/>
  <c r="K123" i="1"/>
  <c r="J123" i="1"/>
  <c r="M122" i="1"/>
  <c r="L122" i="1"/>
  <c r="K122" i="1"/>
  <c r="J122" i="1"/>
  <c r="M25" i="1"/>
  <c r="L25" i="1"/>
  <c r="K25" i="1"/>
  <c r="J25" i="1"/>
  <c r="M121" i="1"/>
  <c r="L121" i="1"/>
  <c r="K121" i="1"/>
  <c r="J121" i="1"/>
  <c r="M78" i="1"/>
  <c r="L78" i="1"/>
  <c r="K78" i="1"/>
  <c r="J78" i="1"/>
  <c r="M77" i="1"/>
  <c r="L77" i="1"/>
  <c r="K77" i="1"/>
  <c r="J77" i="1"/>
  <c r="M76" i="1"/>
  <c r="L76" i="1"/>
  <c r="K76" i="1"/>
  <c r="J76" i="1"/>
  <c r="M75" i="1"/>
  <c r="L75" i="1"/>
  <c r="K75" i="1"/>
  <c r="J75" i="1"/>
  <c r="M74" i="1"/>
  <c r="L74" i="1"/>
  <c r="K74" i="1"/>
  <c r="J74" i="1"/>
  <c r="M120" i="1"/>
  <c r="L120" i="1"/>
  <c r="K120" i="1"/>
  <c r="J120" i="1"/>
  <c r="M73" i="1"/>
  <c r="L73" i="1"/>
  <c r="K73" i="1"/>
  <c r="J73" i="1"/>
  <c r="M119" i="1"/>
  <c r="L119" i="1"/>
  <c r="K119" i="1"/>
  <c r="J119" i="1"/>
  <c r="M152" i="1"/>
  <c r="L152" i="1"/>
  <c r="K152" i="1"/>
  <c r="J152" i="1"/>
  <c r="M24" i="1"/>
  <c r="L24" i="1"/>
  <c r="K24" i="1"/>
  <c r="J24" i="1"/>
  <c r="M72" i="1"/>
  <c r="L72" i="1"/>
  <c r="K72" i="1"/>
  <c r="J72" i="1"/>
  <c r="M71" i="1"/>
  <c r="L71" i="1"/>
  <c r="K71" i="1"/>
  <c r="J71" i="1"/>
  <c r="M118" i="1"/>
  <c r="L118" i="1"/>
  <c r="K118" i="1"/>
  <c r="J118" i="1"/>
  <c r="M70" i="1"/>
  <c r="L70" i="1"/>
  <c r="K70" i="1"/>
  <c r="J70" i="1"/>
  <c r="M23" i="1"/>
  <c r="L23" i="1"/>
  <c r="K23" i="1"/>
  <c r="J23" i="1"/>
  <c r="M69" i="1"/>
  <c r="L69" i="1"/>
  <c r="K69" i="1"/>
  <c r="J69" i="1"/>
  <c r="M117" i="1"/>
  <c r="L117" i="1"/>
  <c r="K117" i="1"/>
  <c r="J117" i="1"/>
  <c r="M116" i="1"/>
  <c r="L116" i="1"/>
  <c r="K116" i="1"/>
  <c r="J116" i="1"/>
  <c r="M115" i="1"/>
  <c r="L115" i="1"/>
  <c r="K115" i="1"/>
  <c r="J115" i="1"/>
  <c r="M22" i="1"/>
  <c r="L22" i="1"/>
  <c r="K22" i="1"/>
  <c r="J22" i="1"/>
  <c r="M151" i="1"/>
  <c r="L151" i="1"/>
  <c r="K151" i="1"/>
  <c r="J151" i="1"/>
  <c r="M114" i="1"/>
  <c r="L114" i="1"/>
  <c r="K114" i="1"/>
  <c r="J114" i="1"/>
  <c r="M68" i="1"/>
  <c r="L68" i="1"/>
  <c r="K68" i="1"/>
  <c r="J68" i="1"/>
  <c r="M67" i="1"/>
  <c r="L67" i="1"/>
  <c r="K67" i="1"/>
  <c r="J67" i="1"/>
  <c r="M21" i="1"/>
  <c r="L21" i="1"/>
  <c r="K21" i="1"/>
  <c r="J21" i="1"/>
  <c r="M20" i="1"/>
  <c r="L20" i="1"/>
  <c r="K20" i="1"/>
  <c r="J20" i="1"/>
  <c r="M66" i="1"/>
  <c r="L66" i="1"/>
  <c r="K66" i="1"/>
  <c r="J66" i="1"/>
  <c r="M65" i="1"/>
  <c r="L65" i="1"/>
  <c r="K65" i="1"/>
  <c r="J65" i="1"/>
  <c r="M64" i="1"/>
  <c r="L64" i="1"/>
  <c r="K64" i="1"/>
  <c r="J64" i="1"/>
  <c r="M63" i="1"/>
  <c r="L63" i="1"/>
  <c r="K63" i="1"/>
  <c r="J63" i="1"/>
  <c r="M62" i="1"/>
  <c r="L62" i="1"/>
  <c r="K62" i="1"/>
  <c r="J62" i="1"/>
  <c r="M113" i="1"/>
  <c r="L113" i="1"/>
  <c r="K113" i="1"/>
  <c r="J113" i="1"/>
  <c r="M150" i="1"/>
  <c r="L150" i="1"/>
  <c r="K150" i="1"/>
  <c r="J150" i="1"/>
  <c r="M61" i="1"/>
  <c r="L61" i="1"/>
  <c r="K61" i="1"/>
  <c r="J61" i="1"/>
  <c r="M60" i="1"/>
  <c r="L60" i="1"/>
  <c r="K60" i="1"/>
  <c r="J60" i="1"/>
  <c r="M59" i="1"/>
  <c r="L59" i="1"/>
  <c r="K59" i="1"/>
  <c r="J59" i="1"/>
  <c r="M19" i="1"/>
  <c r="L19" i="1"/>
  <c r="K19" i="1"/>
  <c r="J19" i="1"/>
  <c r="M58" i="1"/>
  <c r="L58" i="1"/>
  <c r="K58" i="1"/>
  <c r="J58" i="1"/>
  <c r="M18" i="1"/>
  <c r="L18" i="1"/>
  <c r="K18" i="1"/>
  <c r="J18" i="1"/>
  <c r="M57" i="1"/>
  <c r="L57" i="1"/>
  <c r="K57" i="1"/>
  <c r="J57" i="1"/>
  <c r="M17" i="1"/>
  <c r="L17" i="1"/>
  <c r="K17" i="1"/>
  <c r="J17" i="1"/>
  <c r="M16" i="1"/>
  <c r="L16" i="1"/>
  <c r="K16" i="1"/>
  <c r="J16" i="1"/>
  <c r="M15" i="1"/>
  <c r="L15" i="1"/>
  <c r="K15" i="1"/>
  <c r="J15" i="1"/>
  <c r="M149" i="1"/>
  <c r="L149" i="1"/>
  <c r="K149" i="1"/>
  <c r="J149" i="1"/>
  <c r="M112" i="1"/>
  <c r="L112" i="1"/>
  <c r="K112" i="1"/>
  <c r="J112" i="1"/>
  <c r="M56" i="1"/>
  <c r="L56" i="1"/>
  <c r="K56" i="1"/>
  <c r="J56" i="1"/>
  <c r="M111" i="1"/>
  <c r="L111" i="1"/>
  <c r="K111" i="1"/>
  <c r="J111" i="1"/>
  <c r="M110" i="1"/>
  <c r="L110" i="1"/>
  <c r="K110" i="1"/>
  <c r="J110" i="1"/>
  <c r="M109" i="1"/>
  <c r="L109" i="1"/>
  <c r="K109" i="1"/>
  <c r="J109" i="1"/>
  <c r="M55" i="1"/>
  <c r="L55" i="1"/>
  <c r="K55" i="1"/>
  <c r="J55" i="1"/>
  <c r="M54" i="1"/>
  <c r="L54" i="1"/>
  <c r="K54" i="1"/>
  <c r="J54" i="1"/>
  <c r="M14" i="1"/>
  <c r="L14" i="1"/>
  <c r="K14" i="1"/>
  <c r="J14" i="1"/>
  <c r="M108" i="1"/>
  <c r="L108" i="1"/>
  <c r="K108" i="1"/>
  <c r="J108" i="1"/>
  <c r="M13" i="1"/>
  <c r="L13" i="1"/>
  <c r="K13" i="1"/>
  <c r="J13" i="1"/>
  <c r="M12" i="1"/>
  <c r="L12" i="1"/>
  <c r="K12" i="1"/>
  <c r="J12" i="1"/>
  <c r="M148" i="1"/>
  <c r="L148" i="1"/>
  <c r="K148" i="1"/>
  <c r="J148" i="1"/>
  <c r="M11" i="1"/>
  <c r="L11" i="1"/>
  <c r="K11" i="1"/>
  <c r="J11" i="1"/>
  <c r="M107" i="1"/>
  <c r="L107" i="1"/>
  <c r="K107" i="1"/>
  <c r="J107" i="1"/>
  <c r="M10" i="1"/>
  <c r="L10" i="1"/>
  <c r="K10" i="1"/>
  <c r="J10" i="1"/>
  <c r="M9" i="1"/>
  <c r="L9" i="1"/>
  <c r="K9" i="1"/>
  <c r="J9" i="1"/>
  <c r="M53" i="1"/>
  <c r="L53" i="1"/>
  <c r="K53" i="1"/>
  <c r="J53" i="1"/>
  <c r="M8" i="1"/>
  <c r="L8" i="1"/>
  <c r="K8" i="1"/>
  <c r="J8" i="1"/>
  <c r="M7" i="1"/>
  <c r="L7" i="1"/>
  <c r="K7" i="1"/>
  <c r="J7" i="1"/>
  <c r="M6" i="1"/>
  <c r="L6" i="1"/>
  <c r="K6" i="1"/>
  <c r="J6" i="1"/>
  <c r="M5" i="1"/>
  <c r="L5" i="1"/>
  <c r="K5" i="1"/>
  <c r="J5" i="1"/>
  <c r="M106" i="1"/>
  <c r="L106" i="1"/>
  <c r="K106" i="1"/>
  <c r="J106" i="1"/>
  <c r="M52" i="1"/>
  <c r="L52" i="1"/>
  <c r="K52" i="1"/>
  <c r="J52" i="1"/>
  <c r="M51" i="1"/>
  <c r="L51" i="1"/>
  <c r="K51" i="1"/>
  <c r="J51" i="1"/>
  <c r="M50" i="1"/>
  <c r="L50" i="1"/>
  <c r="K50" i="1"/>
  <c r="J50" i="1"/>
  <c r="M105" i="1"/>
  <c r="L105" i="1"/>
  <c r="K105" i="1"/>
  <c r="J105" i="1"/>
  <c r="M104" i="1"/>
  <c r="L104" i="1"/>
  <c r="K104" i="1"/>
  <c r="J104" i="1"/>
  <c r="M4" i="1"/>
  <c r="L4" i="1"/>
  <c r="K4" i="1"/>
  <c r="J4" i="1"/>
  <c r="M49" i="1"/>
  <c r="L49" i="1"/>
  <c r="K49" i="1"/>
  <c r="J49" i="1"/>
  <c r="M48" i="1"/>
  <c r="L48" i="1"/>
  <c r="K48" i="1"/>
  <c r="J48" i="1"/>
  <c r="M103" i="1"/>
  <c r="L103" i="1"/>
  <c r="K103" i="1"/>
  <c r="J103" i="1"/>
  <c r="M47" i="1"/>
  <c r="L47" i="1"/>
  <c r="K47" i="1"/>
  <c r="J47" i="1"/>
  <c r="M3" i="1"/>
  <c r="L3" i="1"/>
  <c r="K3" i="1"/>
  <c r="J3" i="1"/>
  <c r="M2" i="1"/>
  <c r="L2" i="1"/>
  <c r="K2" i="1"/>
  <c r="J2" i="1"/>
  <c r="M102" i="1"/>
  <c r="L102" i="1"/>
  <c r="K102" i="1"/>
  <c r="J102" i="1"/>
  <c r="M46" i="1"/>
  <c r="L46" i="1"/>
  <c r="K46" i="1"/>
  <c r="J46" i="1"/>
  <c r="M147" i="1"/>
  <c r="L147" i="1"/>
  <c r="K147" i="1"/>
  <c r="J147" i="1"/>
  <c r="M45" i="1"/>
  <c r="L45" i="1"/>
  <c r="K45" i="1"/>
  <c r="J45" i="1"/>
  <c r="M101" i="1"/>
  <c r="L101" i="1"/>
  <c r="K101" i="1"/>
  <c r="J101" i="1"/>
  <c r="M44" i="1"/>
  <c r="L44" i="1"/>
  <c r="K44" i="1"/>
  <c r="J44" i="1"/>
</calcChain>
</file>

<file path=xl/sharedStrings.xml><?xml version="1.0" encoding="utf-8"?>
<sst xmlns="http://schemas.openxmlformats.org/spreadsheetml/2006/main" count="874" uniqueCount="229">
  <si>
    <t>Mã đơn hàng</t>
  </si>
  <si>
    <t>Ngày bán</t>
  </si>
  <si>
    <t>Nhân viên</t>
  </si>
  <si>
    <t>Chi nhánh</t>
  </si>
  <si>
    <t>Tên sản phẩm</t>
  </si>
  <si>
    <t>Số lượng</t>
  </si>
  <si>
    <t>Đơn giá</t>
  </si>
  <si>
    <t>Kênh bán</t>
  </si>
  <si>
    <t>Ghi chú</t>
  </si>
  <si>
    <t>QB-240001</t>
  </si>
  <si>
    <t>Nguyễn Minh Anh</t>
  </si>
  <si>
    <t>Hà Nội</t>
  </si>
  <si>
    <t>Burger Bò Phô Mai</t>
  </si>
  <si>
    <t>Tại quán</t>
  </si>
  <si>
    <t>QB-240002</t>
  </si>
  <si>
    <t>Võ Văn Phúc</t>
  </si>
  <si>
    <t>TP.HCM</t>
  </si>
  <si>
    <t>Burger Gà Giòn</t>
  </si>
  <si>
    <t>Thêm tương ớt</t>
  </si>
  <si>
    <t>QB-240003</t>
  </si>
  <si>
    <t>QB-240004</t>
  </si>
  <si>
    <t>Hoàng Thị Em</t>
  </si>
  <si>
    <t>tphcm</t>
  </si>
  <si>
    <t>Ít đá</t>
  </si>
  <si>
    <t>QB-240005</t>
  </si>
  <si>
    <t>Trần Văn Bình</t>
  </si>
  <si>
    <t>Gà Rán 5 Miếng</t>
  </si>
  <si>
    <t>Gr</t>
  </si>
  <si>
    <t>QB-240006</t>
  </si>
  <si>
    <t>nguyễn minh anh</t>
  </si>
  <si>
    <t>Gà Rán 2 Miếng</t>
  </si>
  <si>
    <t>Grab</t>
  </si>
  <si>
    <t>QB-240007</t>
  </si>
  <si>
    <t>Lê Thị Cẩm</t>
  </si>
  <si>
    <t>Đà Nẵng</t>
  </si>
  <si>
    <t>grab</t>
  </si>
  <si>
    <t>QB-240008</t>
  </si>
  <si>
    <t>Khoai Tây Chiên (M)</t>
  </si>
  <si>
    <t>Không hành</t>
  </si>
  <si>
    <t>QB-240009</t>
  </si>
  <si>
    <t>burger bò phô mai</t>
  </si>
  <si>
    <t>QB-240010</t>
  </si>
  <si>
    <t>ShopeeFood</t>
  </si>
  <si>
    <t>QB-240011</t>
  </si>
  <si>
    <t>QB-240012</t>
  </si>
  <si>
    <t>Khách VIP</t>
  </si>
  <si>
    <t>QB-240013</t>
  </si>
  <si>
    <t>TRẦN VĂN BÌNH</t>
  </si>
  <si>
    <t>Pizza Rau Củ</t>
  </si>
  <si>
    <t>QB-240014</t>
  </si>
  <si>
    <t>Khoai Tây Chiên (L)</t>
  </si>
  <si>
    <t>QB-240015</t>
  </si>
  <si>
    <t>Pizza Hải Sản</t>
  </si>
  <si>
    <t>Giao gấp</t>
  </si>
  <si>
    <t>QB-240016</t>
  </si>
  <si>
    <t>HÀ NỘi</t>
  </si>
  <si>
    <t>Salad Trộn</t>
  </si>
  <si>
    <t>QB-240017</t>
  </si>
  <si>
    <t>Pepsi</t>
  </si>
  <si>
    <t>QB-240018</t>
  </si>
  <si>
    <t>QB-240019</t>
  </si>
  <si>
    <t>QB-240020</t>
  </si>
  <si>
    <t>PIZZA HẢI SẢN</t>
  </si>
  <si>
    <t>QB-240021</t>
  </si>
  <si>
    <t>QB-240022</t>
  </si>
  <si>
    <t>QB-240023</t>
  </si>
  <si>
    <t>QB-240024</t>
  </si>
  <si>
    <t>lê thị cẩm</t>
  </si>
  <si>
    <t>QB-240025</t>
  </si>
  <si>
    <t>Phạm Hoàng Dũng</t>
  </si>
  <si>
    <t>Cánh Gà Chiên Mắm</t>
  </si>
  <si>
    <t>QB-240026</t>
  </si>
  <si>
    <t>QB-240027</t>
  </si>
  <si>
    <t>QB-240028</t>
  </si>
  <si>
    <t>Coca Cola</t>
  </si>
  <si>
    <t>QB-240029</t>
  </si>
  <si>
    <t>QB-240030</t>
  </si>
  <si>
    <t>QB-240031</t>
  </si>
  <si>
    <t>gà rán 2 miếng</t>
  </si>
  <si>
    <t>QB-240032</t>
  </si>
  <si>
    <t>QB-240033</t>
  </si>
  <si>
    <t>QB-240034</t>
  </si>
  <si>
    <t>QB-240035</t>
  </si>
  <si>
    <t>PHẠM HOÀNG DŨNG</t>
  </si>
  <si>
    <t>QB-240036</t>
  </si>
  <si>
    <t>QB-240037</t>
  </si>
  <si>
    <t>QB-240038</t>
  </si>
  <si>
    <t>QB-240039</t>
  </si>
  <si>
    <t>QB-240040</t>
  </si>
  <si>
    <t>QB-240041</t>
  </si>
  <si>
    <t>QB-240042</t>
  </si>
  <si>
    <t>KHOAI TÂY CHIÊN (M)</t>
  </si>
  <si>
    <t>QB-240043</t>
  </si>
  <si>
    <t>QB-240044</t>
  </si>
  <si>
    <t>QB-240045</t>
  </si>
  <si>
    <t>QB-240047</t>
  </si>
  <si>
    <t>QB-240050</t>
  </si>
  <si>
    <t>QB-240051</t>
  </si>
  <si>
    <t>Burger Tôm</t>
  </si>
  <si>
    <t>QB-240052</t>
  </si>
  <si>
    <t>Pizza Pepperoni</t>
  </si>
  <si>
    <t>QB-240053</t>
  </si>
  <si>
    <t>coca cola</t>
  </si>
  <si>
    <t>QB-240054</t>
  </si>
  <si>
    <t>QB-240055</t>
  </si>
  <si>
    <t>QB-240056</t>
  </si>
  <si>
    <t>QB-240057</t>
  </si>
  <si>
    <t>VÕ VĂN PHÚC</t>
  </si>
  <si>
    <t>QB-240058</t>
  </si>
  <si>
    <t>QB-240059</t>
  </si>
  <si>
    <t>QB-240060</t>
  </si>
  <si>
    <t>QB-240061</t>
  </si>
  <si>
    <t>QB-240062</t>
  </si>
  <si>
    <t>QB-240063</t>
  </si>
  <si>
    <t>QB-240064</t>
  </si>
  <si>
    <t>QB-240065</t>
  </si>
  <si>
    <t>QB-240066</t>
  </si>
  <si>
    <t>QB-240067</t>
  </si>
  <si>
    <t>QB-240068</t>
  </si>
  <si>
    <t>QB-240069</t>
  </si>
  <si>
    <t>QB-240070</t>
  </si>
  <si>
    <t>QB-240071</t>
  </si>
  <si>
    <t>QB-240072</t>
  </si>
  <si>
    <t>Shopee</t>
  </si>
  <si>
    <t>QB-240073</t>
  </si>
  <si>
    <t>QB-240074</t>
  </si>
  <si>
    <t>QB-240075</t>
  </si>
  <si>
    <t>pizza pepperoni</t>
  </si>
  <si>
    <t>QB-240076</t>
  </si>
  <si>
    <t>QB-240077</t>
  </si>
  <si>
    <t>Trà Đào</t>
  </si>
  <si>
    <t>QB-240078</t>
  </si>
  <si>
    <t>QB-240079</t>
  </si>
  <si>
    <t>QB-240080</t>
  </si>
  <si>
    <t>QB-240081</t>
  </si>
  <si>
    <t>QB-240082</t>
  </si>
  <si>
    <t>QB-240083</t>
  </si>
  <si>
    <t>QB-240084</t>
  </si>
  <si>
    <t>QB-240085</t>
  </si>
  <si>
    <t>QB-240086</t>
  </si>
  <si>
    <t>GÀ RÁN 5 MIẾNG</t>
  </si>
  <si>
    <t>QB-240087</t>
  </si>
  <si>
    <t>QB-240088</t>
  </si>
  <si>
    <t>QB-240089</t>
  </si>
  <si>
    <t>QB-240090</t>
  </si>
  <si>
    <t>QB-240091</t>
  </si>
  <si>
    <t>QB-240092</t>
  </si>
  <si>
    <t>QB-240093</t>
  </si>
  <si>
    <t>QB-240094</t>
  </si>
  <si>
    <t>QB-240095</t>
  </si>
  <si>
    <t>QB-240096</t>
  </si>
  <si>
    <t>QB-240097</t>
  </si>
  <si>
    <t>trà đào</t>
  </si>
  <si>
    <t>QB-240098</t>
  </si>
  <si>
    <t>QB-240099</t>
  </si>
  <si>
    <t>QB-240100</t>
  </si>
  <si>
    <t>QB-240101</t>
  </si>
  <si>
    <t>HOÀNG THỊ EM</t>
  </si>
  <si>
    <t>QB-240102</t>
  </si>
  <si>
    <t>QB-240103</t>
  </si>
  <si>
    <t>QB-240104</t>
  </si>
  <si>
    <t>QB-240105</t>
  </si>
  <si>
    <t>QB-240106</t>
  </si>
  <si>
    <t>QB-240107</t>
  </si>
  <si>
    <t>QB-240108</t>
  </si>
  <si>
    <t>SALAD TRỘN</t>
  </si>
  <si>
    <t>QB-240109</t>
  </si>
  <si>
    <t>QB-240110</t>
  </si>
  <si>
    <t>QB-240111</t>
  </si>
  <si>
    <t>QB-240112</t>
  </si>
  <si>
    <t>QB-240113</t>
  </si>
  <si>
    <t>QB-240114</t>
  </si>
  <si>
    <t>QB-240115</t>
  </si>
  <si>
    <t>QB-240116</t>
  </si>
  <si>
    <t>QB-240117</t>
  </si>
  <si>
    <t>QB-240118</t>
  </si>
  <si>
    <t>QB-240119</t>
  </si>
  <si>
    <t>cánh gà chiên mắm</t>
  </si>
  <si>
    <t>QB-240120</t>
  </si>
  <si>
    <t>QB-240121</t>
  </si>
  <si>
    <t>QB-240122</t>
  </si>
  <si>
    <t>QB-240123</t>
  </si>
  <si>
    <t>phạm hoàng dũng</t>
  </si>
  <si>
    <t>QB-240124</t>
  </si>
  <si>
    <t>QB-240125</t>
  </si>
  <si>
    <t>QB-240126</t>
  </si>
  <si>
    <t>QB-240127</t>
  </si>
  <si>
    <t>QB-240128</t>
  </si>
  <si>
    <t>QB-240129</t>
  </si>
  <si>
    <t>QB-240130</t>
  </si>
  <si>
    <t>QB-240131</t>
  </si>
  <si>
    <t>QB-240132</t>
  </si>
  <si>
    <t>QB-240133</t>
  </si>
  <si>
    <t>QB-240134</t>
  </si>
  <si>
    <t>QB-240135</t>
  </si>
  <si>
    <t>QB-240137</t>
  </si>
  <si>
    <t>QB-240138</t>
  </si>
  <si>
    <t>QB-240139</t>
  </si>
  <si>
    <t>QB-240140</t>
  </si>
  <si>
    <t>QB-240141</t>
  </si>
  <si>
    <t>BURGER TÔM</t>
  </si>
  <si>
    <t>QB-240142</t>
  </si>
  <si>
    <t>QB-240143</t>
  </si>
  <si>
    <t>QB-240144</t>
  </si>
  <si>
    <t>QB-240145</t>
  </si>
  <si>
    <t>QB-240146</t>
  </si>
  <si>
    <t>QB-240147</t>
  </si>
  <si>
    <t>QB-240148</t>
  </si>
  <si>
    <t>QB-240149</t>
  </si>
  <si>
    <t>QB-240150</t>
  </si>
  <si>
    <t>Nhiệm vụ 4: Vì sao con người thấy “tp hcm” và “TP.HCM” là giống nhau nhưng máy tính thì không?</t>
  </si>
  <si>
    <t>Nội dung</t>
  </si>
  <si>
    <t>Giải thích chi tiết</t>
  </si>
  <si>
    <t>Vì sao mắt thường thấy “tp hcm” và “TP.HCM” là giống nhau?</t>
  </si>
  <si>
    <t>Vì sao máy tính lại coi là khác nhau?</t>
  </si>
  <si>
    <t>Ví dụ trong dữ liệu</t>
  </si>
  <si>
    <t>Hậu quả khi tổng hợp doanh thu</t>
  </si>
  <si>
    <t>Ảnh hưởng đến công cụ Excel</t>
  </si>
  <si>
    <t>Tác động đến báo cáo quản trị</t>
  </si>
  <si>
    <t>Hệ quả quản lý</t>
  </si>
  <si>
    <t>Ra quyết định sai: phân bổ ngân sách, nhân sự, hàng hóa không chính xác.</t>
  </si>
  <si>
    <t>Kết luận</t>
  </si>
  <si>
    <t>Con người xử lý thông tin theo ngữ nghĩa, tự động hiểu đây đều là cách gọi của cùng một chi nhánh TP.HCM, nên bỏ qua sự khác nhau về chữ hoa – chữ thường, dấu chấm và khoảng trắng.</t>
  </si>
  <si>
    <t>Excel so sánh dữ liệu theo ký tự chính xác. Chỉ cần khác chữ hoa/thường, dấu chấm hoặc khoảng trắng thì Excel sẽ coi là các giá trị hoàn toàn khác nhau.</t>
  </si>
  <si>
    <t>“TP.HCM” ≠ “tp hcm” ≠ “tphcm” → Excel xem là 3 chi nhánh khác nhau</t>
  </si>
  <si>
    <t>Doanh thu của cùng một chi nhánh bị chia nhỏ thành nhiều dòng, khiến số liệu từng chi nhánh thấp hơn thực tế.</t>
  </si>
  <si>
    <t>PivotTable, SUMIF, COUNTIF, Filter sẽ tổng hợp sai vì coi các biến thể là các nhóm khác nhau.</t>
  </si>
  <si>
    <t>Báo cáo so sánh chi nhánh bị sai, dẫn đến đánh giá nhầm hiệu quả kinh doanh giữa các vùng.</t>
  </si>
  <si>
    <t>Không chuẩn hóa văn bản làm dữ liệu bị chia tách giả tạo, khiến báo cáo doanh thu tổng hợp sai lệch nghiêm trọng và gây sai lầm trong quyết định quản trị.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</si>
</sst>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8" x14ac:knownFonts="1">
    <font>
      <sz val="12"/>
      <color theme="1"/>
      <name val="Aptos Narrow"/>
      <family val="2"/>
      <scheme val="minor"/>
    </font>
    <font>
      <b/>
      <sz val="12"/>
      <color theme="1"/>
      <name val="Aptos Narrow"/>
      <family val="2"/>
      <scheme val="minor"/>
    </font>
    <font>
      <b/>
      <sz val="12"/>
      <color theme="1"/>
      <name val="Arial"/>
      <family val="2"/>
    </font>
    <font>
      <sz val="12"/>
      <color theme="1"/>
      <name val="Arial"/>
      <family val="2"/>
    </font>
    <font>
      <sz val="12"/>
      <color rgb="FF1A1C1E"/>
      <name val="Arial"/>
      <family val="2"/>
    </font>
    <font>
      <sz val="11"/>
      <color theme="1"/>
      <name val="Calibri"/>
      <family val="2"/>
    </font>
    <font>
      <b/>
      <sz val="15"/>
      <color rgb="FF1A1C1E"/>
      <name val="Arial"/>
      <family val="2"/>
    </font>
    <font>
      <sz val="12"/>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0" borderId="0" xfId="0" applyFont="1"/>
    <xf numFmtId="164" fontId="2" fillId="0" borderId="0" xfId="0" applyNumberFormat="1" applyFont="1"/>
    <xf numFmtId="1" fontId="2" fillId="0" borderId="0" xfId="0" applyNumberFormat="1" applyFont="1"/>
    <xf numFmtId="3" fontId="2" fillId="0" borderId="0" xfId="0" applyNumberFormat="1" applyFont="1"/>
    <xf numFmtId="0" fontId="3" fillId="0" borderId="0" xfId="0" applyFont="1"/>
    <xf numFmtId="164" fontId="4" fillId="0" borderId="0" xfId="0" applyNumberFormat="1" applyFont="1"/>
    <xf numFmtId="1" fontId="3" fillId="0" borderId="0" xfId="0" applyNumberFormat="1" applyFont="1"/>
    <xf numFmtId="3" fontId="3" fillId="0" borderId="0" xfId="0" applyNumberFormat="1" applyFont="1"/>
    <xf numFmtId="0" fontId="5" fillId="0" borderId="0" xfId="0" applyFont="1"/>
    <xf numFmtId="164" fontId="3" fillId="0" borderId="0" xfId="0" applyNumberFormat="1" applyFont="1"/>
    <xf numFmtId="164" fontId="0" fillId="0" borderId="0" xfId="0" applyNumberFormat="1"/>
    <xf numFmtId="1" fontId="0" fillId="0" borderId="0" xfId="0" applyNumberFormat="1"/>
    <xf numFmtId="3" fontId="0" fillId="0" borderId="0" xfId="0" applyNumberFormat="1"/>
    <xf numFmtId="0" fontId="6" fillId="0" borderId="0" xfId="0" applyFont="1"/>
    <xf numFmtId="0" fontId="1" fillId="0" borderId="1" xfId="0" applyFont="1" applyBorder="1"/>
    <xf numFmtId="0" fontId="7" fillId="0" borderId="1" xfId="0" applyFont="1" applyBorder="1" applyAlignment="1">
      <alignment vertical="center" wrapText="1"/>
    </xf>
    <xf numFmtId="0" fontId="7"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8F21A-EB74-DC46-84BD-847B43BB24AB}">
  <dimension ref="A1:M156"/>
  <sheetViews>
    <sheetView tabSelected="1" workbookViewId="0">
      <selection activeCell="G33" sqref="G33"/>
    </sheetView>
  </sheetViews>
  <sheetFormatPr baseColWidth="10" defaultRowHeight="16" x14ac:dyDescent="0.2"/>
  <cols>
    <col min="1" max="1" width="12.83203125" customWidth="1"/>
    <col min="2" max="2" width="13.1640625" customWidth="1"/>
    <col min="3" max="3" width="20.1640625" customWidth="1"/>
    <col min="5" max="5" width="20.6640625" customWidth="1"/>
    <col min="8" max="8" width="14.6640625" customWidth="1"/>
    <col min="9" max="9" width="14.5" customWidth="1"/>
    <col min="10" max="10" width="17" customWidth="1"/>
    <col min="11" max="11" width="11.6640625" customWidth="1"/>
    <col min="12" max="12" width="19.5" customWidth="1"/>
  </cols>
  <sheetData>
    <row r="1" spans="1:13" x14ac:dyDescent="0.2">
      <c r="A1" s="1" t="s">
        <v>0</v>
      </c>
      <c r="B1" s="2" t="s">
        <v>1</v>
      </c>
      <c r="C1" s="1" t="s">
        <v>2</v>
      </c>
      <c r="D1" s="1" t="s">
        <v>3</v>
      </c>
      <c r="E1" s="1" t="s">
        <v>4</v>
      </c>
      <c r="F1" s="3" t="s">
        <v>5</v>
      </c>
      <c r="G1" s="4" t="s">
        <v>6</v>
      </c>
      <c r="H1" s="1" t="s">
        <v>7</v>
      </c>
      <c r="I1" s="1" t="s">
        <v>8</v>
      </c>
      <c r="J1" s="1" t="s">
        <v>2</v>
      </c>
      <c r="K1" s="1" t="s">
        <v>3</v>
      </c>
      <c r="L1" s="1" t="s">
        <v>4</v>
      </c>
    </row>
    <row r="2" spans="1:13" x14ac:dyDescent="0.2">
      <c r="A2" s="5" t="s">
        <v>32</v>
      </c>
      <c r="B2" s="6">
        <v>45078</v>
      </c>
      <c r="C2" s="5" t="s">
        <v>33</v>
      </c>
      <c r="D2" s="5" t="s">
        <v>34</v>
      </c>
      <c r="E2" s="5" t="s">
        <v>17</v>
      </c>
      <c r="F2" s="7">
        <v>1</v>
      </c>
      <c r="G2" s="8">
        <v>45000</v>
      </c>
      <c r="H2" s="5" t="s">
        <v>35</v>
      </c>
      <c r="I2" s="9"/>
      <c r="J2" t="str">
        <f>PROPER(TRIM(C2))</f>
        <v>Lê Thị Cẩm</v>
      </c>
      <c r="K2" t="str">
        <f>PROPER(TRIM(D2))</f>
        <v>Đà Nẵng</v>
      </c>
      <c r="L2" t="str">
        <f>PROPER(TRIM(E2))</f>
        <v>Burger Gà Giòn</v>
      </c>
      <c r="M2" t="str">
        <f>PROPER(H2)</f>
        <v>Grab</v>
      </c>
    </row>
    <row r="3" spans="1:13" x14ac:dyDescent="0.2">
      <c r="A3" s="5" t="s">
        <v>36</v>
      </c>
      <c r="B3" s="6">
        <v>45108</v>
      </c>
      <c r="C3" s="5" t="s">
        <v>33</v>
      </c>
      <c r="D3" s="5" t="s">
        <v>34</v>
      </c>
      <c r="E3" s="5" t="s">
        <v>37</v>
      </c>
      <c r="F3" s="7">
        <v>3</v>
      </c>
      <c r="G3" s="8">
        <v>25000</v>
      </c>
      <c r="H3" s="5" t="s">
        <v>13</v>
      </c>
      <c r="I3" s="5" t="s">
        <v>38</v>
      </c>
      <c r="J3" t="str">
        <f>PROPER(TRIM(C3))</f>
        <v>Lê Thị Cẩm</v>
      </c>
      <c r="K3" t="str">
        <f>PROPER(TRIM(D3))</f>
        <v>Đà Nẵng</v>
      </c>
      <c r="L3" t="str">
        <f>PROPER(TRIM(E3))</f>
        <v>Khoai Tây Chiên (M)</v>
      </c>
      <c r="M3" t="str">
        <f>PROPER(H3)</f>
        <v>Tại Quán</v>
      </c>
    </row>
    <row r="4" spans="1:13" x14ac:dyDescent="0.2">
      <c r="A4" s="5" t="s">
        <v>46</v>
      </c>
      <c r="B4" s="6">
        <v>45231</v>
      </c>
      <c r="C4" s="5" t="s">
        <v>47</v>
      </c>
      <c r="D4" s="5" t="s">
        <v>34</v>
      </c>
      <c r="E4" s="5" t="s">
        <v>48</v>
      </c>
      <c r="F4" s="7">
        <v>2</v>
      </c>
      <c r="G4" s="8">
        <v>129000</v>
      </c>
      <c r="H4" s="5" t="s">
        <v>42</v>
      </c>
      <c r="I4" s="9"/>
      <c r="J4" t="str">
        <f>PROPER(TRIM(C4))</f>
        <v>Trần Văn Bình</v>
      </c>
      <c r="K4" t="str">
        <f>PROPER(TRIM(D4))</f>
        <v>Đà Nẵng</v>
      </c>
      <c r="L4" t="str">
        <f>PROPER(TRIM(E4))</f>
        <v>Pizza Rau Củ</v>
      </c>
      <c r="M4" t="str">
        <f>PROPER(H4)</f>
        <v>Shopeefood</v>
      </c>
    </row>
    <row r="5" spans="1:13" x14ac:dyDescent="0.2">
      <c r="A5" s="5" t="s">
        <v>61</v>
      </c>
      <c r="B5" s="6">
        <v>44942</v>
      </c>
      <c r="C5" s="5" t="s">
        <v>33</v>
      </c>
      <c r="D5" s="5" t="s">
        <v>34</v>
      </c>
      <c r="E5" s="5" t="s">
        <v>62</v>
      </c>
      <c r="F5" s="7">
        <v>2</v>
      </c>
      <c r="G5" s="8">
        <v>65000</v>
      </c>
      <c r="H5" s="5" t="s">
        <v>42</v>
      </c>
      <c r="I5" s="5" t="s">
        <v>23</v>
      </c>
      <c r="J5" t="str">
        <f>PROPER(TRIM(C5))</f>
        <v>Lê Thị Cẩm</v>
      </c>
      <c r="K5" t="str">
        <f>PROPER(TRIM(D5))</f>
        <v>Đà Nẵng</v>
      </c>
      <c r="L5" t="str">
        <f>PROPER(TRIM(E5))</f>
        <v>Pizza Hải Sản</v>
      </c>
      <c r="M5" t="str">
        <f>PROPER(H5)</f>
        <v>Shopeefood</v>
      </c>
    </row>
    <row r="6" spans="1:13" x14ac:dyDescent="0.2">
      <c r="A6" s="5" t="s">
        <v>61</v>
      </c>
      <c r="B6" s="6">
        <v>44943</v>
      </c>
      <c r="C6" s="5" t="s">
        <v>33</v>
      </c>
      <c r="D6" s="5" t="s">
        <v>34</v>
      </c>
      <c r="E6" s="5" t="s">
        <v>62</v>
      </c>
      <c r="F6" s="7">
        <v>2</v>
      </c>
      <c r="G6" s="8">
        <v>65000</v>
      </c>
      <c r="H6" s="5" t="s">
        <v>42</v>
      </c>
      <c r="I6" s="5" t="s">
        <v>23</v>
      </c>
      <c r="J6" t="str">
        <f>PROPER(TRIM(C6))</f>
        <v>Lê Thị Cẩm</v>
      </c>
      <c r="K6" t="str">
        <f>PROPER(TRIM(D6))</f>
        <v>Đà Nẵng</v>
      </c>
      <c r="L6" t="str">
        <f>PROPER(TRIM(E6))</f>
        <v>Pizza Hải Sản</v>
      </c>
      <c r="M6" t="str">
        <f>PROPER(H6)</f>
        <v>Shopeefood</v>
      </c>
    </row>
    <row r="7" spans="1:13" x14ac:dyDescent="0.2">
      <c r="A7" s="5" t="s">
        <v>63</v>
      </c>
      <c r="B7" s="6">
        <v>44944</v>
      </c>
      <c r="C7" s="5" t="s">
        <v>33</v>
      </c>
      <c r="D7" s="5" t="s">
        <v>34</v>
      </c>
      <c r="E7" s="5" t="s">
        <v>56</v>
      </c>
      <c r="F7" s="7">
        <v>5</v>
      </c>
      <c r="G7" s="8">
        <v>39000</v>
      </c>
      <c r="H7" s="5" t="s">
        <v>31</v>
      </c>
      <c r="I7" s="5" t="s">
        <v>18</v>
      </c>
      <c r="J7" t="str">
        <f>PROPER(TRIM(C7))</f>
        <v>Lê Thị Cẩm</v>
      </c>
      <c r="K7" t="str">
        <f>PROPER(TRIM(D7))</f>
        <v>Đà Nẵng</v>
      </c>
      <c r="L7" t="str">
        <f>PROPER(TRIM(E7))</f>
        <v>Salad Trộn</v>
      </c>
      <c r="M7" t="str">
        <f>PROPER(H7)</f>
        <v>Grab</v>
      </c>
    </row>
    <row r="8" spans="1:13" x14ac:dyDescent="0.2">
      <c r="A8" s="5" t="s">
        <v>64</v>
      </c>
      <c r="B8" s="6">
        <v>44944</v>
      </c>
      <c r="C8" s="5" t="s">
        <v>33</v>
      </c>
      <c r="D8" s="5" t="s">
        <v>34</v>
      </c>
      <c r="E8" s="5" t="s">
        <v>52</v>
      </c>
      <c r="F8" s="7">
        <v>2</v>
      </c>
      <c r="G8" s="8">
        <v>189000</v>
      </c>
      <c r="H8" s="5" t="s">
        <v>42</v>
      </c>
      <c r="I8" s="5" t="s">
        <v>38</v>
      </c>
      <c r="J8" t="str">
        <f>PROPER(TRIM(C8))</f>
        <v>Lê Thị Cẩm</v>
      </c>
      <c r="K8" t="str">
        <f>PROPER(TRIM(D8))</f>
        <v>Đà Nẵng</v>
      </c>
      <c r="L8" t="str">
        <f>PROPER(TRIM(E8))</f>
        <v>Pizza Hải Sản</v>
      </c>
      <c r="M8" t="str">
        <f>PROPER(H8)</f>
        <v>Shopeefood</v>
      </c>
    </row>
    <row r="9" spans="1:13" x14ac:dyDescent="0.2">
      <c r="A9" s="5" t="s">
        <v>66</v>
      </c>
      <c r="B9" s="6">
        <v>44946</v>
      </c>
      <c r="C9" s="5" t="s">
        <v>67</v>
      </c>
      <c r="D9" s="5" t="s">
        <v>34</v>
      </c>
      <c r="E9" s="5" t="s">
        <v>37</v>
      </c>
      <c r="F9" s="7">
        <v>1</v>
      </c>
      <c r="G9" s="8">
        <v>25000</v>
      </c>
      <c r="H9" s="5" t="s">
        <v>31</v>
      </c>
      <c r="I9" s="5" t="s">
        <v>53</v>
      </c>
      <c r="J9" t="str">
        <f>PROPER(TRIM(C9))</f>
        <v>Lê Thị Cẩm</v>
      </c>
      <c r="K9" t="str">
        <f>PROPER(TRIM(D9))</f>
        <v>Đà Nẵng</v>
      </c>
      <c r="L9" t="str">
        <f>PROPER(TRIM(E9))</f>
        <v>Khoai Tây Chiên (M)</v>
      </c>
      <c r="M9" t="str">
        <f>PROPER(H9)</f>
        <v>Grab</v>
      </c>
    </row>
    <row r="10" spans="1:13" x14ac:dyDescent="0.2">
      <c r="A10" s="5" t="s">
        <v>68</v>
      </c>
      <c r="B10" s="6">
        <v>44946</v>
      </c>
      <c r="C10" s="5" t="s">
        <v>69</v>
      </c>
      <c r="D10" s="5" t="s">
        <v>34</v>
      </c>
      <c r="E10" s="5" t="s">
        <v>70</v>
      </c>
      <c r="F10" s="7">
        <v>3</v>
      </c>
      <c r="G10" s="8">
        <v>79000</v>
      </c>
      <c r="H10" s="5" t="s">
        <v>42</v>
      </c>
      <c r="I10" s="9"/>
      <c r="J10" t="str">
        <f>PROPER(TRIM(C10))</f>
        <v>Phạm Hoàng Dũng</v>
      </c>
      <c r="K10" t="str">
        <f>PROPER(TRIM(D10))</f>
        <v>Đà Nẵng</v>
      </c>
      <c r="L10" t="str">
        <f>PROPER(TRIM(E10))</f>
        <v>Cánh Gà Chiên Mắm</v>
      </c>
      <c r="M10" t="str">
        <f>PROPER(H10)</f>
        <v>Shopeefood</v>
      </c>
    </row>
    <row r="11" spans="1:13" x14ac:dyDescent="0.2">
      <c r="A11" s="5" t="s">
        <v>72</v>
      </c>
      <c r="B11" s="6">
        <v>44948</v>
      </c>
      <c r="C11" s="5" t="s">
        <v>33</v>
      </c>
      <c r="D11" s="5" t="s">
        <v>34</v>
      </c>
      <c r="E11" s="5" t="s">
        <v>30</v>
      </c>
      <c r="F11" s="7">
        <v>2</v>
      </c>
      <c r="G11" s="8">
        <v>59000</v>
      </c>
      <c r="H11" s="5" t="s">
        <v>31</v>
      </c>
      <c r="I11" s="9"/>
      <c r="J11" t="str">
        <f>PROPER(TRIM(C11))</f>
        <v>Lê Thị Cẩm</v>
      </c>
      <c r="K11" t="str">
        <f>PROPER(TRIM(D11))</f>
        <v>Đà Nẵng</v>
      </c>
      <c r="L11" t="str">
        <f>PROPER(TRIM(E11))</f>
        <v>Gà Rán 2 Miếng</v>
      </c>
      <c r="M11" t="str">
        <f>PROPER(H11)</f>
        <v>Grab</v>
      </c>
    </row>
    <row r="12" spans="1:13" x14ac:dyDescent="0.2">
      <c r="A12" s="5" t="s">
        <v>75</v>
      </c>
      <c r="B12" s="6">
        <v>44949</v>
      </c>
      <c r="C12" s="5" t="s">
        <v>33</v>
      </c>
      <c r="D12" s="5" t="s">
        <v>34</v>
      </c>
      <c r="E12" s="5" t="s">
        <v>58</v>
      </c>
      <c r="F12" s="7">
        <v>5</v>
      </c>
      <c r="G12" s="8">
        <v>18000</v>
      </c>
      <c r="H12" s="5" t="s">
        <v>42</v>
      </c>
      <c r="I12" s="9"/>
      <c r="J12" t="str">
        <f>PROPER(TRIM(C12))</f>
        <v>Lê Thị Cẩm</v>
      </c>
      <c r="K12" t="str">
        <f>PROPER(TRIM(D12))</f>
        <v>Đà Nẵng</v>
      </c>
      <c r="L12" t="str">
        <f>PROPER(TRIM(E12))</f>
        <v>Pepsi</v>
      </c>
      <c r="M12" t="str">
        <f>PROPER(H12)</f>
        <v>Shopeefood</v>
      </c>
    </row>
    <row r="13" spans="1:13" x14ac:dyDescent="0.2">
      <c r="A13" s="5" t="s">
        <v>76</v>
      </c>
      <c r="B13" s="6">
        <v>44950</v>
      </c>
      <c r="C13" s="5" t="s">
        <v>33</v>
      </c>
      <c r="D13" s="5" t="s">
        <v>34</v>
      </c>
      <c r="E13" s="5" t="s">
        <v>74</v>
      </c>
      <c r="F13" s="7">
        <v>2</v>
      </c>
      <c r="G13" s="8">
        <v>18000</v>
      </c>
      <c r="H13" s="5" t="s">
        <v>42</v>
      </c>
      <c r="I13" s="5" t="s">
        <v>23</v>
      </c>
      <c r="J13" t="str">
        <f>PROPER(TRIM(C13))</f>
        <v>Lê Thị Cẩm</v>
      </c>
      <c r="K13" t="str">
        <f>PROPER(TRIM(D13))</f>
        <v>Đà Nẵng</v>
      </c>
      <c r="L13" t="str">
        <f>PROPER(TRIM(E13))</f>
        <v>Coca Cola</v>
      </c>
      <c r="M13" t="str">
        <f>PROPER(H13)</f>
        <v>Shopeefood</v>
      </c>
    </row>
    <row r="14" spans="1:13" x14ac:dyDescent="0.2">
      <c r="A14" s="5" t="s">
        <v>79</v>
      </c>
      <c r="B14" s="6">
        <v>44959</v>
      </c>
      <c r="C14" s="5" t="s">
        <v>33</v>
      </c>
      <c r="D14" s="5" t="s">
        <v>34</v>
      </c>
      <c r="E14" s="5" t="s">
        <v>52</v>
      </c>
      <c r="F14" s="7">
        <v>1</v>
      </c>
      <c r="G14" s="8">
        <v>189000</v>
      </c>
      <c r="H14" s="5" t="s">
        <v>13</v>
      </c>
      <c r="I14" s="5" t="s">
        <v>18</v>
      </c>
      <c r="J14" t="str">
        <f>PROPER(TRIM(C14))</f>
        <v>Lê Thị Cẩm</v>
      </c>
      <c r="K14" t="str">
        <f>PROPER(TRIM(D14))</f>
        <v>Đà Nẵng</v>
      </c>
      <c r="L14" t="str">
        <f>PROPER(TRIM(E14))</f>
        <v>Pizza Hải Sản</v>
      </c>
      <c r="M14" t="str">
        <f>PROPER(H14)</f>
        <v>Tại Quán</v>
      </c>
    </row>
    <row r="15" spans="1:13" x14ac:dyDescent="0.2">
      <c r="A15" s="5" t="s">
        <v>89</v>
      </c>
      <c r="B15" s="6">
        <v>45140</v>
      </c>
      <c r="C15" s="5" t="s">
        <v>33</v>
      </c>
      <c r="D15" s="5" t="s">
        <v>34</v>
      </c>
      <c r="E15" s="5" t="s">
        <v>17</v>
      </c>
      <c r="F15" s="7">
        <v>5</v>
      </c>
      <c r="G15" s="8">
        <v>45000</v>
      </c>
      <c r="H15" s="5" t="s">
        <v>13</v>
      </c>
      <c r="I15" s="9"/>
      <c r="J15" t="str">
        <f>PROPER(TRIM(C15))</f>
        <v>Lê Thị Cẩm</v>
      </c>
      <c r="K15" t="str">
        <f>PROPER(TRIM(D15))</f>
        <v>Đà Nẵng</v>
      </c>
      <c r="L15" t="str">
        <f>PROPER(TRIM(E15))</f>
        <v>Burger Gà Giòn</v>
      </c>
      <c r="M15" t="str">
        <f>PROPER(H15)</f>
        <v>Tại Quán</v>
      </c>
    </row>
    <row r="16" spans="1:13" x14ac:dyDescent="0.2">
      <c r="A16" s="5" t="s">
        <v>90</v>
      </c>
      <c r="B16" s="6">
        <v>45171</v>
      </c>
      <c r="C16" s="5" t="s">
        <v>69</v>
      </c>
      <c r="D16" s="5" t="s">
        <v>34</v>
      </c>
      <c r="E16" s="5" t="s">
        <v>91</v>
      </c>
      <c r="F16" s="7">
        <v>5</v>
      </c>
      <c r="G16" s="8">
        <v>189000</v>
      </c>
      <c r="H16" s="5" t="s">
        <v>13</v>
      </c>
      <c r="I16" s="5" t="s">
        <v>18</v>
      </c>
      <c r="J16" t="str">
        <f>PROPER(TRIM(C16))</f>
        <v>Phạm Hoàng Dũng</v>
      </c>
      <c r="K16" t="str">
        <f>PROPER(TRIM(D16))</f>
        <v>Đà Nẵng</v>
      </c>
      <c r="L16" t="str">
        <f>PROPER(TRIM(E16))</f>
        <v>Khoai Tây Chiên (M)</v>
      </c>
      <c r="M16" t="str">
        <f>PROPER(H16)</f>
        <v>Tại Quán</v>
      </c>
    </row>
    <row r="17" spans="1:13" x14ac:dyDescent="0.2">
      <c r="A17" s="5" t="s">
        <v>92</v>
      </c>
      <c r="B17" s="6">
        <v>45201</v>
      </c>
      <c r="C17" s="5" t="s">
        <v>69</v>
      </c>
      <c r="D17" s="5" t="s">
        <v>34</v>
      </c>
      <c r="E17" s="5" t="s">
        <v>52</v>
      </c>
      <c r="F17" s="7">
        <v>4</v>
      </c>
      <c r="G17" s="8">
        <v>189000</v>
      </c>
      <c r="H17" s="5" t="s">
        <v>31</v>
      </c>
      <c r="I17" s="9"/>
      <c r="J17" t="str">
        <f>PROPER(TRIM(C17))</f>
        <v>Phạm Hoàng Dũng</v>
      </c>
      <c r="K17" t="str">
        <f>PROPER(TRIM(D17))</f>
        <v>Đà Nẵng</v>
      </c>
      <c r="L17" t="str">
        <f>PROPER(TRIM(E17))</f>
        <v>Pizza Hải Sản</v>
      </c>
      <c r="M17" t="str">
        <f>PROPER(H17)</f>
        <v>Grab</v>
      </c>
    </row>
    <row r="18" spans="1:13" x14ac:dyDescent="0.2">
      <c r="A18" s="5" t="s">
        <v>94</v>
      </c>
      <c r="B18" s="6">
        <v>45232</v>
      </c>
      <c r="C18" s="5" t="s">
        <v>69</v>
      </c>
      <c r="D18" s="5" t="s">
        <v>34</v>
      </c>
      <c r="E18" s="5" t="s">
        <v>58</v>
      </c>
      <c r="F18" s="7">
        <v>1</v>
      </c>
      <c r="G18" s="8">
        <v>18000</v>
      </c>
      <c r="H18" s="5" t="s">
        <v>42</v>
      </c>
      <c r="I18" s="9"/>
      <c r="J18" t="str">
        <f>PROPER(TRIM(C18))</f>
        <v>Phạm Hoàng Dũng</v>
      </c>
      <c r="K18" t="str">
        <f>PROPER(TRIM(D18))</f>
        <v>Đà Nẵng</v>
      </c>
      <c r="L18" t="str">
        <f>PROPER(TRIM(E18))</f>
        <v>Pepsi</v>
      </c>
      <c r="M18" t="str">
        <f>PROPER(H18)</f>
        <v>Shopeefood</v>
      </c>
    </row>
    <row r="19" spans="1:13" x14ac:dyDescent="0.2">
      <c r="A19" s="9"/>
      <c r="B19" s="6">
        <v>44971</v>
      </c>
      <c r="C19" s="5" t="s">
        <v>33</v>
      </c>
      <c r="D19" s="5" t="s">
        <v>34</v>
      </c>
      <c r="E19" s="5" t="s">
        <v>26</v>
      </c>
      <c r="F19" s="7">
        <v>2</v>
      </c>
      <c r="G19" s="8">
        <v>129000</v>
      </c>
      <c r="H19" s="5" t="s">
        <v>13</v>
      </c>
      <c r="I19" s="5" t="s">
        <v>38</v>
      </c>
      <c r="J19" t="str">
        <f>PROPER(TRIM(C19))</f>
        <v>Lê Thị Cẩm</v>
      </c>
      <c r="K19" t="str">
        <f>PROPER(TRIM(D19))</f>
        <v>Đà Nẵng</v>
      </c>
      <c r="L19" t="str">
        <f>PROPER(TRIM(E19))</f>
        <v>Gà Rán 5 Miếng</v>
      </c>
      <c r="M19" t="str">
        <f>PROPER(H19)</f>
        <v>Tại Quán</v>
      </c>
    </row>
    <row r="20" spans="1:13" x14ac:dyDescent="0.2">
      <c r="A20" s="5" t="s">
        <v>109</v>
      </c>
      <c r="B20" s="6">
        <v>44980</v>
      </c>
      <c r="C20" s="5" t="s">
        <v>69</v>
      </c>
      <c r="D20" s="5" t="s">
        <v>34</v>
      </c>
      <c r="E20" s="5" t="s">
        <v>50</v>
      </c>
      <c r="F20" s="7">
        <v>5</v>
      </c>
      <c r="G20" s="8">
        <v>35000</v>
      </c>
      <c r="H20" s="5" t="s">
        <v>42</v>
      </c>
      <c r="I20" s="5" t="s">
        <v>23</v>
      </c>
      <c r="J20" t="str">
        <f>PROPER(TRIM(C20))</f>
        <v>Phạm Hoàng Dũng</v>
      </c>
      <c r="K20" t="str">
        <f>PROPER(TRIM(D20))</f>
        <v>Đà Nẵng</v>
      </c>
      <c r="L20" t="str">
        <f>PROPER(TRIM(E20))</f>
        <v>Khoai Tây Chiên (L)</v>
      </c>
      <c r="M20" t="str">
        <f>PROPER(H20)</f>
        <v>Shopeefood</v>
      </c>
    </row>
    <row r="21" spans="1:13" x14ac:dyDescent="0.2">
      <c r="A21" s="5" t="s">
        <v>110</v>
      </c>
      <c r="B21" s="6">
        <v>44980</v>
      </c>
      <c r="C21" s="5" t="s">
        <v>33</v>
      </c>
      <c r="D21" s="5" t="s">
        <v>34</v>
      </c>
      <c r="E21" s="5" t="s">
        <v>52</v>
      </c>
      <c r="F21" s="7">
        <v>3</v>
      </c>
      <c r="G21" s="8">
        <v>189000</v>
      </c>
      <c r="H21" s="5" t="s">
        <v>13</v>
      </c>
      <c r="I21" s="9"/>
      <c r="J21" t="str">
        <f>PROPER(TRIM(C21))</f>
        <v>Lê Thị Cẩm</v>
      </c>
      <c r="K21" t="str">
        <f>PROPER(TRIM(D21))</f>
        <v>Đà Nẵng</v>
      </c>
      <c r="L21" t="str">
        <f>PROPER(TRIM(E21))</f>
        <v>Pizza Hải Sản</v>
      </c>
      <c r="M21" t="str">
        <f>PROPER(H21)</f>
        <v>Tại Quán</v>
      </c>
    </row>
    <row r="22" spans="1:13" x14ac:dyDescent="0.2">
      <c r="A22" s="5" t="s">
        <v>115</v>
      </c>
      <c r="B22" s="6">
        <v>44985</v>
      </c>
      <c r="C22" s="5" t="s">
        <v>69</v>
      </c>
      <c r="D22" s="5" t="s">
        <v>34</v>
      </c>
      <c r="E22" s="5" t="s">
        <v>58</v>
      </c>
      <c r="F22" s="7">
        <v>5</v>
      </c>
      <c r="G22" s="8">
        <v>18000</v>
      </c>
      <c r="H22" s="5" t="s">
        <v>42</v>
      </c>
      <c r="I22" s="9"/>
      <c r="J22" t="str">
        <f>PROPER(TRIM(C22))</f>
        <v>Phạm Hoàng Dũng</v>
      </c>
      <c r="K22" t="str">
        <f>PROPER(TRIM(D22))</f>
        <v>Đà Nẵng</v>
      </c>
      <c r="L22" t="str">
        <f>PROPER(TRIM(E22))</f>
        <v>Pepsi</v>
      </c>
      <c r="M22" t="str">
        <f>PROPER(H22)</f>
        <v>Shopeefood</v>
      </c>
    </row>
    <row r="23" spans="1:13" x14ac:dyDescent="0.2">
      <c r="A23" s="5" t="s">
        <v>120</v>
      </c>
      <c r="B23" s="6">
        <v>45019</v>
      </c>
      <c r="C23" s="5" t="s">
        <v>33</v>
      </c>
      <c r="D23" s="5" t="s">
        <v>34</v>
      </c>
      <c r="E23" s="5" t="s">
        <v>100</v>
      </c>
      <c r="F23" s="7">
        <v>1</v>
      </c>
      <c r="G23" s="8">
        <v>159000</v>
      </c>
      <c r="H23" s="5" t="s">
        <v>13</v>
      </c>
      <c r="I23" s="5" t="s">
        <v>53</v>
      </c>
      <c r="J23" t="str">
        <f>PROPER(TRIM(C23))</f>
        <v>Lê Thị Cẩm</v>
      </c>
      <c r="K23" t="str">
        <f>PROPER(TRIM(D23))</f>
        <v>Đà Nẵng</v>
      </c>
      <c r="L23" t="str">
        <f>PROPER(TRIM(E23))</f>
        <v>Pizza Pepperoni</v>
      </c>
      <c r="M23" t="str">
        <f>PROPER(H23)</f>
        <v>Tại Quán</v>
      </c>
    </row>
    <row r="24" spans="1:13" x14ac:dyDescent="0.2">
      <c r="A24" s="5" t="s">
        <v>126</v>
      </c>
      <c r="B24" s="6">
        <v>45141</v>
      </c>
      <c r="C24" s="5" t="s">
        <v>69</v>
      </c>
      <c r="D24" s="5" t="s">
        <v>34</v>
      </c>
      <c r="E24" s="5" t="s">
        <v>127</v>
      </c>
      <c r="F24" s="7">
        <v>1</v>
      </c>
      <c r="G24" s="8">
        <v>65000</v>
      </c>
      <c r="H24" s="5" t="s">
        <v>31</v>
      </c>
      <c r="I24" s="5" t="s">
        <v>45</v>
      </c>
      <c r="J24" t="str">
        <f>PROPER(TRIM(C24))</f>
        <v>Phạm Hoàng Dũng</v>
      </c>
      <c r="K24" t="str">
        <f>PROPER(TRIM(D24))</f>
        <v>Đà Nẵng</v>
      </c>
      <c r="L24" t="str">
        <f>PROPER(TRIM(E24))</f>
        <v>Pizza Pepperoni</v>
      </c>
      <c r="M24" t="str">
        <f>PROPER(H24)</f>
        <v>Grab</v>
      </c>
    </row>
    <row r="25" spans="1:13" x14ac:dyDescent="0.2">
      <c r="A25" s="5" t="s">
        <v>138</v>
      </c>
      <c r="B25" s="6">
        <v>45000</v>
      </c>
      <c r="C25" s="5" t="s">
        <v>33</v>
      </c>
      <c r="D25" s="5" t="s">
        <v>34</v>
      </c>
      <c r="E25" s="5" t="s">
        <v>98</v>
      </c>
      <c r="F25" s="7">
        <v>5</v>
      </c>
      <c r="G25" s="8">
        <v>65000</v>
      </c>
      <c r="H25" s="5" t="s">
        <v>31</v>
      </c>
      <c r="I25" s="9"/>
      <c r="J25" t="str">
        <f>PROPER(TRIM(C25))</f>
        <v>Lê Thị Cẩm</v>
      </c>
      <c r="K25" t="str">
        <f>PROPER(TRIM(D25))</f>
        <v>Đà Nẵng</v>
      </c>
      <c r="L25" t="str">
        <f>PROPER(TRIM(E25))</f>
        <v>Burger Tôm</v>
      </c>
      <c r="M25" t="str">
        <f>PROPER(H25)</f>
        <v>Grab</v>
      </c>
    </row>
    <row r="26" spans="1:13" x14ac:dyDescent="0.2">
      <c r="A26" s="5" t="s">
        <v>146</v>
      </c>
      <c r="B26" s="6">
        <v>45006</v>
      </c>
      <c r="C26" s="5" t="s">
        <v>69</v>
      </c>
      <c r="D26" s="5" t="s">
        <v>34</v>
      </c>
      <c r="E26" s="5" t="s">
        <v>48</v>
      </c>
      <c r="F26" s="7">
        <v>4</v>
      </c>
      <c r="G26" s="8">
        <v>129000</v>
      </c>
      <c r="H26" s="5" t="s">
        <v>42</v>
      </c>
      <c r="I26" s="9"/>
      <c r="J26" t="str">
        <f>PROPER(TRIM(C26))</f>
        <v>Phạm Hoàng Dũng</v>
      </c>
      <c r="K26" t="str">
        <f>PROPER(TRIM(D26))</f>
        <v>Đà Nẵng</v>
      </c>
      <c r="L26" t="str">
        <f>PROPER(TRIM(E26))</f>
        <v>Pizza Rau Củ</v>
      </c>
      <c r="M26" t="str">
        <f>PROPER(H26)</f>
        <v>Shopeefood</v>
      </c>
    </row>
    <row r="27" spans="1:13" x14ac:dyDescent="0.2">
      <c r="A27" s="5" t="s">
        <v>149</v>
      </c>
      <c r="B27" s="6">
        <v>45008</v>
      </c>
      <c r="C27" s="5" t="s">
        <v>69</v>
      </c>
      <c r="D27" s="5" t="s">
        <v>34</v>
      </c>
      <c r="E27" s="5" t="s">
        <v>70</v>
      </c>
      <c r="F27" s="7">
        <v>1</v>
      </c>
      <c r="G27" s="8">
        <v>79000</v>
      </c>
      <c r="H27" s="5" t="s">
        <v>31</v>
      </c>
      <c r="I27" s="9"/>
      <c r="J27" t="str">
        <f>PROPER(TRIM(C27))</f>
        <v>Phạm Hoàng Dũng</v>
      </c>
      <c r="K27" t="str">
        <f>PROPER(TRIM(D27))</f>
        <v>Đà Nẵng</v>
      </c>
      <c r="L27" t="str">
        <f>PROPER(TRIM(E27))</f>
        <v>Cánh Gà Chiên Mắm</v>
      </c>
      <c r="M27" t="str">
        <f>PROPER(H27)</f>
        <v>Grab</v>
      </c>
    </row>
    <row r="28" spans="1:13" x14ac:dyDescent="0.2">
      <c r="A28" s="5" t="s">
        <v>150</v>
      </c>
      <c r="B28" s="6">
        <v>45009</v>
      </c>
      <c r="C28" s="5" t="s">
        <v>69</v>
      </c>
      <c r="D28" s="5" t="s">
        <v>34</v>
      </c>
      <c r="E28" s="5" t="s">
        <v>74</v>
      </c>
      <c r="F28" s="7">
        <v>5</v>
      </c>
      <c r="G28" s="8">
        <v>18000</v>
      </c>
      <c r="H28" s="5" t="s">
        <v>42</v>
      </c>
      <c r="I28" s="5" t="s">
        <v>45</v>
      </c>
      <c r="J28" t="str">
        <f>PROPER(TRIM(C28))</f>
        <v>Phạm Hoàng Dũng</v>
      </c>
      <c r="K28" t="str">
        <f>PROPER(TRIM(D28))</f>
        <v>Đà Nẵng</v>
      </c>
      <c r="L28" t="str">
        <f>PROPER(TRIM(E28))</f>
        <v>Coca Cola</v>
      </c>
      <c r="M28" t="str">
        <f>PROPER(H28)</f>
        <v>Shopeefood</v>
      </c>
    </row>
    <row r="29" spans="1:13" x14ac:dyDescent="0.2">
      <c r="A29" s="5" t="s">
        <v>151</v>
      </c>
      <c r="B29" s="6">
        <v>45375</v>
      </c>
      <c r="C29" s="5" t="s">
        <v>69</v>
      </c>
      <c r="D29" s="5" t="s">
        <v>34</v>
      </c>
      <c r="E29" s="5" t="s">
        <v>152</v>
      </c>
      <c r="F29" s="7">
        <v>2</v>
      </c>
      <c r="G29" s="8">
        <v>129000</v>
      </c>
      <c r="H29" s="5" t="s">
        <v>42</v>
      </c>
      <c r="I29" s="5" t="s">
        <v>38</v>
      </c>
      <c r="J29" t="str">
        <f>PROPER(TRIM(C29))</f>
        <v>Phạm Hoàng Dũng</v>
      </c>
      <c r="K29" t="str">
        <f>PROPER(TRIM(D29))</f>
        <v>Đà Nẵng</v>
      </c>
      <c r="L29" t="str">
        <f>PROPER(TRIM(E29))</f>
        <v>Trà Đào</v>
      </c>
      <c r="M29" t="str">
        <f>PROPER(H29)</f>
        <v>Shopeefood</v>
      </c>
    </row>
    <row r="30" spans="1:13" x14ac:dyDescent="0.2">
      <c r="A30" s="5" t="s">
        <v>167</v>
      </c>
      <c r="B30" s="6">
        <v>45234</v>
      </c>
      <c r="C30" s="5" t="s">
        <v>69</v>
      </c>
      <c r="D30" s="5" t="s">
        <v>34</v>
      </c>
      <c r="E30" s="5" t="s">
        <v>17</v>
      </c>
      <c r="F30" s="7">
        <v>3</v>
      </c>
      <c r="G30" s="8">
        <v>45000</v>
      </c>
      <c r="H30" s="5" t="s">
        <v>13</v>
      </c>
      <c r="I30" s="9"/>
      <c r="J30" t="str">
        <f>PROPER(TRIM(C30))</f>
        <v>Phạm Hoàng Dũng</v>
      </c>
      <c r="K30" t="str">
        <f>PROPER(TRIM(D30))</f>
        <v>Đà Nẵng</v>
      </c>
      <c r="L30" t="str">
        <f>PROPER(TRIM(E30))</f>
        <v>Burger Gà Giòn</v>
      </c>
      <c r="M30" t="str">
        <f>PROPER(H30)</f>
        <v>Tại Quán</v>
      </c>
    </row>
    <row r="31" spans="1:13" x14ac:dyDescent="0.2">
      <c r="A31" s="5" t="s">
        <v>168</v>
      </c>
      <c r="B31" s="6">
        <v>45234</v>
      </c>
      <c r="C31" s="5" t="s">
        <v>33</v>
      </c>
      <c r="D31" s="5" t="s">
        <v>34</v>
      </c>
      <c r="E31" s="5" t="s">
        <v>130</v>
      </c>
      <c r="F31" s="7">
        <v>5</v>
      </c>
      <c r="G31" s="8">
        <v>25000</v>
      </c>
      <c r="H31" s="5" t="s">
        <v>13</v>
      </c>
      <c r="I31" s="9"/>
      <c r="J31" t="str">
        <f>PROPER(TRIM(C31))</f>
        <v>Lê Thị Cẩm</v>
      </c>
      <c r="K31" t="str">
        <f>PROPER(TRIM(D31))</f>
        <v>Đà Nẵng</v>
      </c>
      <c r="L31" t="str">
        <f>PROPER(TRIM(E31))</f>
        <v>Trà Đào</v>
      </c>
      <c r="M31" t="str">
        <f>PROPER(H31)</f>
        <v>Tại Quán</v>
      </c>
    </row>
    <row r="32" spans="1:13" x14ac:dyDescent="0.2">
      <c r="A32" s="5" t="s">
        <v>170</v>
      </c>
      <c r="B32" s="6">
        <v>45029</v>
      </c>
      <c r="C32" s="5" t="s">
        <v>69</v>
      </c>
      <c r="D32" s="5" t="s">
        <v>34</v>
      </c>
      <c r="E32" s="5" t="s">
        <v>30</v>
      </c>
      <c r="F32" s="7">
        <v>3</v>
      </c>
      <c r="G32" s="8">
        <v>59000</v>
      </c>
      <c r="H32" s="5" t="s">
        <v>42</v>
      </c>
      <c r="I32" s="5" t="s">
        <v>38</v>
      </c>
      <c r="J32" t="str">
        <f>PROPER(TRIM(C32))</f>
        <v>Phạm Hoàng Dũng</v>
      </c>
      <c r="K32" t="str">
        <f>PROPER(TRIM(D32))</f>
        <v>Đà Nẵng</v>
      </c>
      <c r="L32" t="str">
        <f>PROPER(TRIM(E32))</f>
        <v>Gà Rán 2 Miếng</v>
      </c>
      <c r="M32" t="str">
        <f>PROPER(H32)</f>
        <v>Shopeefood</v>
      </c>
    </row>
    <row r="33" spans="1:13" x14ac:dyDescent="0.2">
      <c r="A33" s="5" t="s">
        <v>173</v>
      </c>
      <c r="B33" s="6">
        <v>45031</v>
      </c>
      <c r="C33" s="5" t="s">
        <v>33</v>
      </c>
      <c r="D33" s="5" t="s">
        <v>34</v>
      </c>
      <c r="E33" s="5" t="s">
        <v>100</v>
      </c>
      <c r="F33" s="7">
        <v>4</v>
      </c>
      <c r="G33" s="8">
        <v>159000</v>
      </c>
      <c r="H33" s="5" t="s">
        <v>31</v>
      </c>
      <c r="I33" s="5" t="s">
        <v>23</v>
      </c>
      <c r="J33" t="str">
        <f>PROPER(TRIM(C33))</f>
        <v>Lê Thị Cẩm</v>
      </c>
      <c r="K33" t="str">
        <f>PROPER(TRIM(D33))</f>
        <v>Đà Nẵng</v>
      </c>
      <c r="L33" t="str">
        <f>PROPER(TRIM(E33))</f>
        <v>Pizza Pepperoni</v>
      </c>
      <c r="M33" t="str">
        <f>PROPER(H33)</f>
        <v>Grab</v>
      </c>
    </row>
    <row r="34" spans="1:13" x14ac:dyDescent="0.2">
      <c r="A34" s="5" t="s">
        <v>175</v>
      </c>
      <c r="B34" s="6">
        <v>45033</v>
      </c>
      <c r="C34" s="5" t="s">
        <v>33</v>
      </c>
      <c r="D34" s="5" t="s">
        <v>34</v>
      </c>
      <c r="E34" s="5" t="s">
        <v>26</v>
      </c>
      <c r="F34" s="7">
        <v>1</v>
      </c>
      <c r="G34" s="8">
        <v>129000</v>
      </c>
      <c r="H34" s="5" t="s">
        <v>31</v>
      </c>
      <c r="I34" s="5" t="s">
        <v>45</v>
      </c>
      <c r="J34" t="str">
        <f>PROPER(TRIM(C34))</f>
        <v>Lê Thị Cẩm</v>
      </c>
      <c r="K34" t="str">
        <f>PROPER(TRIM(D34))</f>
        <v>Đà Nẵng</v>
      </c>
      <c r="L34" t="str">
        <f>PROPER(TRIM(E34))</f>
        <v>Gà Rán 5 Miếng</v>
      </c>
      <c r="M34" t="str">
        <f>PROPER(H34)</f>
        <v>Grab</v>
      </c>
    </row>
    <row r="35" spans="1:13" x14ac:dyDescent="0.2">
      <c r="A35" s="5" t="s">
        <v>180</v>
      </c>
      <c r="B35" s="6">
        <v>45036</v>
      </c>
      <c r="C35" s="5" t="s">
        <v>69</v>
      </c>
      <c r="D35" s="5" t="s">
        <v>34</v>
      </c>
      <c r="E35" s="5" t="s">
        <v>98</v>
      </c>
      <c r="F35" s="7">
        <v>1</v>
      </c>
      <c r="G35" s="8">
        <v>65000</v>
      </c>
      <c r="H35" s="5" t="s">
        <v>31</v>
      </c>
      <c r="I35" s="5" t="s">
        <v>53</v>
      </c>
      <c r="J35" t="str">
        <f>PROPER(TRIM(C35))</f>
        <v>Phạm Hoàng Dũng</v>
      </c>
      <c r="K35" t="str">
        <f>PROPER(TRIM(D35))</f>
        <v>Đà Nẵng</v>
      </c>
      <c r="L35" t="str">
        <f>PROPER(TRIM(E35))</f>
        <v>Burger Tôm</v>
      </c>
      <c r="M35" t="str">
        <f>PROPER(H35)</f>
        <v>Grab</v>
      </c>
    </row>
    <row r="36" spans="1:13" x14ac:dyDescent="0.2">
      <c r="A36" s="5" t="s">
        <v>183</v>
      </c>
      <c r="B36" s="6">
        <v>45038</v>
      </c>
      <c r="C36" s="5" t="s">
        <v>69</v>
      </c>
      <c r="D36" s="5" t="s">
        <v>34</v>
      </c>
      <c r="E36" s="5" t="s">
        <v>100</v>
      </c>
      <c r="F36" s="7">
        <v>1</v>
      </c>
      <c r="G36" s="8">
        <v>159000</v>
      </c>
      <c r="H36" s="5" t="s">
        <v>31</v>
      </c>
      <c r="I36" s="9"/>
      <c r="J36" t="str">
        <f>PROPER(TRIM(C36))</f>
        <v>Phạm Hoàng Dũng</v>
      </c>
      <c r="K36" t="str">
        <f>PROPER(TRIM(D36))</f>
        <v>Đà Nẵng</v>
      </c>
      <c r="L36" t="str">
        <f>PROPER(TRIM(E36))</f>
        <v>Pizza Pepperoni</v>
      </c>
      <c r="M36" t="str">
        <f>PROPER(H36)</f>
        <v>Grab</v>
      </c>
    </row>
    <row r="37" spans="1:13" x14ac:dyDescent="0.2">
      <c r="A37" s="5" t="s">
        <v>189</v>
      </c>
      <c r="B37" s="6">
        <v>45043</v>
      </c>
      <c r="C37" s="5" t="s">
        <v>33</v>
      </c>
      <c r="D37" s="5" t="s">
        <v>34</v>
      </c>
      <c r="E37" s="5" t="s">
        <v>58</v>
      </c>
      <c r="F37" s="7">
        <v>5</v>
      </c>
      <c r="G37" s="8">
        <v>45000</v>
      </c>
      <c r="H37" s="5" t="s">
        <v>13</v>
      </c>
      <c r="I37" s="9"/>
      <c r="J37" t="str">
        <f>PROPER(TRIM(C37))</f>
        <v>Lê Thị Cẩm</v>
      </c>
      <c r="K37" t="str">
        <f>PROPER(TRIM(D37))</f>
        <v>Đà Nẵng</v>
      </c>
      <c r="L37" t="str">
        <f>PROPER(TRIM(E37))</f>
        <v>Pepsi</v>
      </c>
      <c r="M37" t="str">
        <f>PROPER(H37)</f>
        <v>Tại Quán</v>
      </c>
    </row>
    <row r="38" spans="1:13" x14ac:dyDescent="0.2">
      <c r="A38" s="5" t="s">
        <v>194</v>
      </c>
      <c r="B38" s="10">
        <v>45092</v>
      </c>
      <c r="C38" s="5" t="s">
        <v>33</v>
      </c>
      <c r="D38" s="5" t="s">
        <v>34</v>
      </c>
      <c r="E38" s="5" t="s">
        <v>12</v>
      </c>
      <c r="F38" s="7">
        <v>4</v>
      </c>
      <c r="G38" s="8">
        <v>55000</v>
      </c>
      <c r="H38" s="5" t="s">
        <v>31</v>
      </c>
      <c r="I38" s="9"/>
      <c r="J38" t="str">
        <f>PROPER(TRIM(C38))</f>
        <v>Lê Thị Cẩm</v>
      </c>
      <c r="K38" t="str">
        <f>PROPER(TRIM(D38))</f>
        <v>Đà Nẵng</v>
      </c>
      <c r="L38" t="str">
        <f>PROPER(TRIM(E38))</f>
        <v>Burger Bò Phô Mai</v>
      </c>
      <c r="M38" t="str">
        <f>PROPER(H38)</f>
        <v>Grab</v>
      </c>
    </row>
    <row r="39" spans="1:13" x14ac:dyDescent="0.2">
      <c r="A39" s="5" t="s">
        <v>197</v>
      </c>
      <c r="B39" s="10">
        <v>45096</v>
      </c>
      <c r="C39" s="5" t="s">
        <v>33</v>
      </c>
      <c r="D39" s="5" t="s">
        <v>34</v>
      </c>
      <c r="E39" s="5" t="s">
        <v>48</v>
      </c>
      <c r="F39" s="7">
        <v>2</v>
      </c>
      <c r="G39" s="8">
        <v>129000</v>
      </c>
      <c r="H39" s="5" t="s">
        <v>13</v>
      </c>
      <c r="I39" s="9"/>
      <c r="J39" t="str">
        <f>PROPER(TRIM(C39))</f>
        <v>Lê Thị Cẩm</v>
      </c>
      <c r="K39" t="str">
        <f>PROPER(TRIM(D39))</f>
        <v>Đà Nẵng</v>
      </c>
      <c r="L39" t="str">
        <f>PROPER(TRIM(E39))</f>
        <v>Pizza Rau Củ</v>
      </c>
      <c r="M39" t="str">
        <f>PROPER(H39)</f>
        <v>Tại Quán</v>
      </c>
    </row>
    <row r="40" spans="1:13" x14ac:dyDescent="0.2">
      <c r="A40" s="5" t="s">
        <v>199</v>
      </c>
      <c r="B40" s="10">
        <v>45098</v>
      </c>
      <c r="C40" s="5" t="s">
        <v>69</v>
      </c>
      <c r="D40" s="5" t="s">
        <v>34</v>
      </c>
      <c r="E40" s="5" t="s">
        <v>200</v>
      </c>
      <c r="F40" s="7">
        <v>1</v>
      </c>
      <c r="G40" s="8">
        <v>129000</v>
      </c>
      <c r="H40" s="5" t="s">
        <v>31</v>
      </c>
      <c r="I40" s="5" t="s">
        <v>45</v>
      </c>
      <c r="J40" t="str">
        <f>PROPER(TRIM(C40))</f>
        <v>Phạm Hoàng Dũng</v>
      </c>
      <c r="K40" t="str">
        <f>PROPER(TRIM(D40))</f>
        <v>Đà Nẵng</v>
      </c>
      <c r="L40" t="str">
        <f>PROPER(TRIM(E40))</f>
        <v>Burger Tôm</v>
      </c>
      <c r="M40" t="str">
        <f>PROPER(H40)</f>
        <v>Grab</v>
      </c>
    </row>
    <row r="41" spans="1:13" x14ac:dyDescent="0.2">
      <c r="A41" s="5" t="s">
        <v>201</v>
      </c>
      <c r="B41" s="10">
        <v>45099</v>
      </c>
      <c r="C41" s="5" t="s">
        <v>69</v>
      </c>
      <c r="D41" s="5" t="s">
        <v>34</v>
      </c>
      <c r="E41" s="5" t="s">
        <v>52</v>
      </c>
      <c r="F41" s="7">
        <v>3</v>
      </c>
      <c r="G41" s="8">
        <v>189000</v>
      </c>
      <c r="H41" s="5" t="s">
        <v>31</v>
      </c>
      <c r="I41" s="5" t="s">
        <v>45</v>
      </c>
      <c r="J41" t="str">
        <f>PROPER(TRIM(C41))</f>
        <v>Phạm Hoàng Dũng</v>
      </c>
      <c r="K41" t="str">
        <f>PROPER(TRIM(D41))</f>
        <v>Đà Nẵng</v>
      </c>
      <c r="L41" t="str">
        <f>PROPER(TRIM(E41))</f>
        <v>Pizza Hải Sản</v>
      </c>
      <c r="M41" t="str">
        <f>PROPER(H41)</f>
        <v>Grab</v>
      </c>
    </row>
    <row r="42" spans="1:13" x14ac:dyDescent="0.2">
      <c r="A42" s="5" t="s">
        <v>207</v>
      </c>
      <c r="B42" s="10">
        <v>45105</v>
      </c>
      <c r="C42" s="5" t="s">
        <v>69</v>
      </c>
      <c r="D42" s="5" t="s">
        <v>34</v>
      </c>
      <c r="E42" s="5" t="s">
        <v>70</v>
      </c>
      <c r="F42" s="7">
        <v>5</v>
      </c>
      <c r="G42" s="8">
        <v>79000</v>
      </c>
      <c r="H42" s="5" t="s">
        <v>31</v>
      </c>
      <c r="I42" s="5" t="s">
        <v>53</v>
      </c>
      <c r="J42" t="str">
        <f>PROPER(TRIM(C42))</f>
        <v>Phạm Hoàng Dũng</v>
      </c>
      <c r="K42" t="str">
        <f>PROPER(TRIM(D42))</f>
        <v>Đà Nẵng</v>
      </c>
      <c r="L42" t="str">
        <f>PROPER(TRIM(E42))</f>
        <v>Cánh Gà Chiên Mắm</v>
      </c>
      <c r="M42" t="str">
        <f>PROPER(H42)</f>
        <v>Grab</v>
      </c>
    </row>
    <row r="43" spans="1:13" x14ac:dyDescent="0.2">
      <c r="A43" s="5" t="s">
        <v>208</v>
      </c>
      <c r="B43" s="10">
        <v>45106</v>
      </c>
      <c r="C43" s="5" t="s">
        <v>33</v>
      </c>
      <c r="D43" s="5" t="s">
        <v>34</v>
      </c>
      <c r="E43" s="5" t="s">
        <v>48</v>
      </c>
      <c r="F43" s="7">
        <v>4</v>
      </c>
      <c r="G43" s="8">
        <v>129000</v>
      </c>
      <c r="H43" s="5" t="s">
        <v>31</v>
      </c>
      <c r="I43" s="9"/>
      <c r="J43" t="str">
        <f>PROPER(TRIM(C43))</f>
        <v>Lê Thị Cẩm</v>
      </c>
      <c r="K43" t="str">
        <f>PROPER(TRIM(D43))</f>
        <v>Đà Nẵng</v>
      </c>
      <c r="L43" t="str">
        <f>PROPER(TRIM(E43))</f>
        <v>Pizza Rau Củ</v>
      </c>
      <c r="M43" t="str">
        <f>PROPER(H43)</f>
        <v>Grab</v>
      </c>
    </row>
    <row r="44" spans="1:13" x14ac:dyDescent="0.2">
      <c r="A44" s="5" t="s">
        <v>9</v>
      </c>
      <c r="B44" s="6">
        <v>44958</v>
      </c>
      <c r="C44" s="5" t="s">
        <v>10</v>
      </c>
      <c r="D44" s="5" t="s">
        <v>11</v>
      </c>
      <c r="E44" s="5" t="s">
        <v>12</v>
      </c>
      <c r="F44" s="7">
        <v>3</v>
      </c>
      <c r="G44" s="8">
        <v>55000</v>
      </c>
      <c r="H44" s="5" t="s">
        <v>13</v>
      </c>
      <c r="I44" s="9"/>
      <c r="J44" t="str">
        <f>PROPER(TRIM(C44))</f>
        <v>Nguyễn Minh Anh</v>
      </c>
      <c r="K44" t="str">
        <f>PROPER(TRIM(D44))</f>
        <v>Hà Nội</v>
      </c>
      <c r="L44" t="str">
        <f>PROPER(TRIM(E44))</f>
        <v>Burger Bò Phô Mai</v>
      </c>
      <c r="M44" t="str">
        <f>PROPER(H44)</f>
        <v>Tại Quán</v>
      </c>
    </row>
    <row r="45" spans="1:13" x14ac:dyDescent="0.2">
      <c r="A45" s="5" t="s">
        <v>19</v>
      </c>
      <c r="B45" s="6">
        <v>44986</v>
      </c>
      <c r="C45" s="5" t="s">
        <v>10</v>
      </c>
      <c r="D45" s="5" t="s">
        <v>11</v>
      </c>
      <c r="E45" s="5" t="s">
        <v>12</v>
      </c>
      <c r="F45" s="7">
        <v>1</v>
      </c>
      <c r="G45" s="8">
        <v>55000</v>
      </c>
      <c r="H45" s="5" t="s">
        <v>13</v>
      </c>
      <c r="I45" s="9"/>
      <c r="J45" t="str">
        <f>PROPER(TRIM(C45))</f>
        <v>Nguyễn Minh Anh</v>
      </c>
      <c r="K45" t="str">
        <f>PROPER(TRIM(D45))</f>
        <v>Hà Nội</v>
      </c>
      <c r="L45" t="str">
        <f>PROPER(TRIM(E45))</f>
        <v>Burger Bò Phô Mai</v>
      </c>
      <c r="M45" t="str">
        <f>PROPER(H45)</f>
        <v>Tại Quán</v>
      </c>
    </row>
    <row r="46" spans="1:13" x14ac:dyDescent="0.2">
      <c r="A46" s="5" t="s">
        <v>24</v>
      </c>
      <c r="B46" s="6">
        <v>45047</v>
      </c>
      <c r="C46" s="5" t="s">
        <v>25</v>
      </c>
      <c r="D46" s="5" t="s">
        <v>11</v>
      </c>
      <c r="E46" s="5" t="s">
        <v>26</v>
      </c>
      <c r="F46" s="7">
        <v>5</v>
      </c>
      <c r="G46" s="8">
        <v>129000</v>
      </c>
      <c r="H46" s="5" t="s">
        <v>27</v>
      </c>
      <c r="I46" s="9"/>
      <c r="J46" t="str">
        <f>PROPER(TRIM(C46))</f>
        <v>Trần Văn Bình</v>
      </c>
      <c r="K46" t="str">
        <f>PROPER(TRIM(D46))</f>
        <v>Hà Nội</v>
      </c>
      <c r="L46" t="str">
        <f>PROPER(TRIM(E46))</f>
        <v>Gà Rán 5 Miếng</v>
      </c>
      <c r="M46" t="str">
        <f>PROPER(H47)</f>
        <v>Tại Quán</v>
      </c>
    </row>
    <row r="47" spans="1:13" x14ac:dyDescent="0.2">
      <c r="A47" s="5" t="s">
        <v>39</v>
      </c>
      <c r="B47" s="6">
        <v>45139</v>
      </c>
      <c r="C47" s="5" t="s">
        <v>10</v>
      </c>
      <c r="D47" s="5" t="s">
        <v>11</v>
      </c>
      <c r="E47" s="5" t="s">
        <v>40</v>
      </c>
      <c r="F47" s="7">
        <v>4</v>
      </c>
      <c r="G47" s="8">
        <v>25000</v>
      </c>
      <c r="H47" s="5" t="s">
        <v>13</v>
      </c>
      <c r="I47" s="5" t="s">
        <v>23</v>
      </c>
      <c r="J47" t="str">
        <f>PROPER(TRIM(C47))</f>
        <v>Nguyễn Minh Anh</v>
      </c>
      <c r="K47" t="str">
        <f>PROPER(TRIM(D47))</f>
        <v>Hà Nội</v>
      </c>
      <c r="L47" t="str">
        <f>PROPER(TRIM(E47))</f>
        <v>Burger Bò Phô Mai</v>
      </c>
      <c r="M47" t="str">
        <f>PROPER(H47)</f>
        <v>Tại Quán</v>
      </c>
    </row>
    <row r="48" spans="1:13" x14ac:dyDescent="0.2">
      <c r="A48" s="5" t="s">
        <v>43</v>
      </c>
      <c r="B48" s="6">
        <v>45170</v>
      </c>
      <c r="C48" s="5" t="s">
        <v>10</v>
      </c>
      <c r="D48" s="5" t="s">
        <v>11</v>
      </c>
      <c r="E48" s="5" t="s">
        <v>12</v>
      </c>
      <c r="F48" s="7">
        <v>2</v>
      </c>
      <c r="G48" s="8">
        <v>55000</v>
      </c>
      <c r="H48" s="5" t="s">
        <v>31</v>
      </c>
      <c r="I48" s="9"/>
      <c r="J48" t="str">
        <f>PROPER(TRIM(C48))</f>
        <v>Nguyễn Minh Anh</v>
      </c>
      <c r="K48" t="str">
        <f>PROPER(TRIM(D48))</f>
        <v>Hà Nội</v>
      </c>
      <c r="L48" t="str">
        <f>PROPER(TRIM(E48))</f>
        <v>Burger Bò Phô Mai</v>
      </c>
      <c r="M48" t="str">
        <f>PROPER(H48)</f>
        <v>Grab</v>
      </c>
    </row>
    <row r="49" spans="1:13" x14ac:dyDescent="0.2">
      <c r="A49" s="5" t="s">
        <v>44</v>
      </c>
      <c r="B49" s="6">
        <v>45200</v>
      </c>
      <c r="C49" s="5" t="s">
        <v>10</v>
      </c>
      <c r="D49" s="5" t="s">
        <v>11</v>
      </c>
      <c r="E49" s="5" t="s">
        <v>30</v>
      </c>
      <c r="F49" s="7">
        <v>3</v>
      </c>
      <c r="G49" s="8">
        <v>59000</v>
      </c>
      <c r="H49" s="5" t="s">
        <v>31</v>
      </c>
      <c r="I49" s="5" t="s">
        <v>45</v>
      </c>
      <c r="J49" t="str">
        <f>PROPER(TRIM(C49))</f>
        <v>Nguyễn Minh Anh</v>
      </c>
      <c r="K49" t="str">
        <f>PROPER(TRIM(D49))</f>
        <v>Hà Nội</v>
      </c>
      <c r="L49" t="str">
        <f>PROPER(TRIM(E49))</f>
        <v>Gà Rán 2 Miếng</v>
      </c>
      <c r="M49" t="str">
        <f>PROPER(H49)</f>
        <v>Grab</v>
      </c>
    </row>
    <row r="50" spans="1:13" x14ac:dyDescent="0.2">
      <c r="A50" s="5" t="s">
        <v>54</v>
      </c>
      <c r="B50" s="6">
        <v>44939</v>
      </c>
      <c r="C50" s="5" t="s">
        <v>15</v>
      </c>
      <c r="D50" s="5" t="s">
        <v>55</v>
      </c>
      <c r="E50" s="5" t="s">
        <v>56</v>
      </c>
      <c r="F50" s="7">
        <v>5</v>
      </c>
      <c r="G50" s="8">
        <v>39000</v>
      </c>
      <c r="H50" s="5" t="s">
        <v>13</v>
      </c>
      <c r="I50" s="5" t="s">
        <v>45</v>
      </c>
      <c r="J50" t="str">
        <f>PROPER(TRIM(C50))</f>
        <v>Võ Văn Phúc</v>
      </c>
      <c r="K50" t="str">
        <f>PROPER(TRIM(D50))</f>
        <v>Hà Nội</v>
      </c>
      <c r="L50" t="str">
        <f>PROPER(TRIM(E50))</f>
        <v>Salad Trộn</v>
      </c>
      <c r="M50" t="str">
        <f>PROPER(H50)</f>
        <v>Tại Quán</v>
      </c>
    </row>
    <row r="51" spans="1:13" x14ac:dyDescent="0.2">
      <c r="A51" s="5" t="s">
        <v>57</v>
      </c>
      <c r="B51" s="6">
        <v>44940</v>
      </c>
      <c r="C51" s="5" t="s">
        <v>25</v>
      </c>
      <c r="D51" s="5" t="s">
        <v>11</v>
      </c>
      <c r="E51" s="5" t="s">
        <v>58</v>
      </c>
      <c r="F51" s="7">
        <v>1</v>
      </c>
      <c r="G51" s="8">
        <v>18000</v>
      </c>
      <c r="H51" s="5" t="s">
        <v>31</v>
      </c>
      <c r="I51" s="5" t="s">
        <v>53</v>
      </c>
      <c r="J51" t="str">
        <f>PROPER(TRIM(C51))</f>
        <v>Trần Văn Bình</v>
      </c>
      <c r="K51" t="str">
        <f>PROPER(TRIM(D51))</f>
        <v>Hà Nội</v>
      </c>
      <c r="L51" t="str">
        <f>PROPER(TRIM(E51))</f>
        <v>Pepsi</v>
      </c>
      <c r="M51" t="str">
        <f>PROPER(H51)</f>
        <v>Grab</v>
      </c>
    </row>
    <row r="52" spans="1:13" x14ac:dyDescent="0.2">
      <c r="A52" s="5" t="s">
        <v>59</v>
      </c>
      <c r="B52" s="6">
        <v>44941</v>
      </c>
      <c r="C52" s="5" t="s">
        <v>10</v>
      </c>
      <c r="D52" s="5" t="s">
        <v>11</v>
      </c>
      <c r="E52" s="5" t="s">
        <v>52</v>
      </c>
      <c r="F52" s="7">
        <v>5</v>
      </c>
      <c r="G52" s="8">
        <v>189000</v>
      </c>
      <c r="H52" s="5" t="s">
        <v>42</v>
      </c>
      <c r="I52" s="5" t="s">
        <v>45</v>
      </c>
      <c r="J52" t="str">
        <f>PROPER(TRIM(C52))</f>
        <v>Nguyễn Minh Anh</v>
      </c>
      <c r="K52" t="str">
        <f>PROPER(TRIM(D52))</f>
        <v>Hà Nội</v>
      </c>
      <c r="L52" t="str">
        <f>PROPER(TRIM(E52))</f>
        <v>Pizza Hải Sản</v>
      </c>
      <c r="M52" t="str">
        <f>PROPER(H52)</f>
        <v>Shopeefood</v>
      </c>
    </row>
    <row r="53" spans="1:13" x14ac:dyDescent="0.2">
      <c r="A53" s="5" t="s">
        <v>65</v>
      </c>
      <c r="B53" s="6">
        <v>44945</v>
      </c>
      <c r="C53" s="5" t="s">
        <v>10</v>
      </c>
      <c r="D53" s="5" t="s">
        <v>11</v>
      </c>
      <c r="E53" s="5" t="s">
        <v>58</v>
      </c>
      <c r="F53" s="7">
        <v>1</v>
      </c>
      <c r="G53" s="8">
        <v>18000</v>
      </c>
      <c r="H53" s="5" t="s">
        <v>13</v>
      </c>
      <c r="I53" s="9"/>
      <c r="J53" t="str">
        <f>PROPER(TRIM(C53))</f>
        <v>Nguyễn Minh Anh</v>
      </c>
      <c r="K53" t="str">
        <f>PROPER(TRIM(D53))</f>
        <v>Hà Nội</v>
      </c>
      <c r="L53" t="str">
        <f>PROPER(TRIM(E53))</f>
        <v>Pepsi</v>
      </c>
      <c r="M53" t="str">
        <f>PROPER(H53)</f>
        <v>Tại Quán</v>
      </c>
    </row>
    <row r="54" spans="1:13" x14ac:dyDescent="0.2">
      <c r="A54" s="5" t="s">
        <v>80</v>
      </c>
      <c r="B54" s="6">
        <v>44959</v>
      </c>
      <c r="C54" s="5" t="s">
        <v>10</v>
      </c>
      <c r="D54" s="5" t="s">
        <v>11</v>
      </c>
      <c r="E54" s="5" t="s">
        <v>56</v>
      </c>
      <c r="F54" s="7">
        <v>4</v>
      </c>
      <c r="G54" s="8">
        <v>39000</v>
      </c>
      <c r="H54" s="5" t="s">
        <v>13</v>
      </c>
      <c r="I54" s="5" t="s">
        <v>23</v>
      </c>
      <c r="J54" t="str">
        <f>PROPER(TRIM(C54))</f>
        <v>Nguyễn Minh Anh</v>
      </c>
      <c r="K54" t="str">
        <f>PROPER(TRIM(D54))</f>
        <v>Hà Nội</v>
      </c>
      <c r="L54" t="str">
        <f>PROPER(TRIM(E54))</f>
        <v>Salad Trộn</v>
      </c>
      <c r="M54" t="str">
        <f>PROPER(H54)</f>
        <v>Tại Quán</v>
      </c>
    </row>
    <row r="55" spans="1:13" x14ac:dyDescent="0.2">
      <c r="A55" s="5" t="s">
        <v>81</v>
      </c>
      <c r="B55" s="6">
        <v>44987</v>
      </c>
      <c r="C55" s="5" t="s">
        <v>25</v>
      </c>
      <c r="D55" s="5" t="s">
        <v>11</v>
      </c>
      <c r="E55" s="5" t="s">
        <v>50</v>
      </c>
      <c r="F55" s="7">
        <v>4</v>
      </c>
      <c r="G55" s="8">
        <v>35000</v>
      </c>
      <c r="H55" s="5" t="s">
        <v>42</v>
      </c>
      <c r="I55" s="9"/>
      <c r="J55" t="str">
        <f>PROPER(TRIM(C55))</f>
        <v>Trần Văn Bình</v>
      </c>
      <c r="K55" t="str">
        <f>PROPER(TRIM(D55))</f>
        <v>Hà Nội</v>
      </c>
      <c r="L55" t="str">
        <f>PROPER(TRIM(E55))</f>
        <v>Khoai Tây Chiên (L)</v>
      </c>
      <c r="M55" t="str">
        <f>PROPER(H55)</f>
        <v>Shopeefood</v>
      </c>
    </row>
    <row r="56" spans="1:13" x14ac:dyDescent="0.2">
      <c r="A56" s="5" t="s">
        <v>86</v>
      </c>
      <c r="B56" s="6">
        <v>45079</v>
      </c>
      <c r="C56" s="5" t="s">
        <v>10</v>
      </c>
      <c r="D56" s="5" t="s">
        <v>11</v>
      </c>
      <c r="E56" s="5" t="s">
        <v>52</v>
      </c>
      <c r="F56" s="7">
        <v>2</v>
      </c>
      <c r="G56" s="8">
        <v>189000</v>
      </c>
      <c r="H56" s="5" t="s">
        <v>13</v>
      </c>
      <c r="I56" s="5" t="s">
        <v>45</v>
      </c>
      <c r="J56" t="str">
        <f>PROPER(TRIM(C56))</f>
        <v>Nguyễn Minh Anh</v>
      </c>
      <c r="K56" t="str">
        <f>PROPER(TRIM(D56))</f>
        <v>Hà Nội</v>
      </c>
      <c r="L56" t="str">
        <f>PROPER(TRIM(E56))</f>
        <v>Pizza Hải Sản</v>
      </c>
      <c r="M56" t="str">
        <f>PROPER(H56)</f>
        <v>Tại Quán</v>
      </c>
    </row>
    <row r="57" spans="1:13" x14ac:dyDescent="0.2">
      <c r="A57" s="5" t="s">
        <v>93</v>
      </c>
      <c r="B57" s="6">
        <v>45232</v>
      </c>
      <c r="C57" s="5" t="s">
        <v>10</v>
      </c>
      <c r="D57" s="5" t="s">
        <v>11</v>
      </c>
      <c r="E57" s="5" t="s">
        <v>50</v>
      </c>
      <c r="F57" s="7">
        <v>4</v>
      </c>
      <c r="G57" s="8">
        <v>35000</v>
      </c>
      <c r="H57" s="5" t="s">
        <v>31</v>
      </c>
      <c r="I57" s="5" t="s">
        <v>53</v>
      </c>
      <c r="J57" t="str">
        <f>PROPER(TRIM(C57))</f>
        <v>Nguyễn Minh Anh</v>
      </c>
      <c r="K57" t="str">
        <f>PROPER(TRIM(D57))</f>
        <v>Hà Nội</v>
      </c>
      <c r="L57" t="str">
        <f>PROPER(TRIM(E57))</f>
        <v>Khoai Tây Chiên (L)</v>
      </c>
      <c r="M57" t="str">
        <f>PROPER(H57)</f>
        <v>Grab</v>
      </c>
    </row>
    <row r="58" spans="1:13" x14ac:dyDescent="0.2">
      <c r="A58" s="5" t="s">
        <v>95</v>
      </c>
      <c r="B58" s="6">
        <v>44970</v>
      </c>
      <c r="C58" s="5" t="s">
        <v>25</v>
      </c>
      <c r="D58" s="5" t="s">
        <v>11</v>
      </c>
      <c r="E58" s="5" t="s">
        <v>70</v>
      </c>
      <c r="F58" s="7">
        <v>4</v>
      </c>
      <c r="G58" s="8">
        <v>79000</v>
      </c>
      <c r="H58" s="5" t="s">
        <v>13</v>
      </c>
      <c r="I58" s="5" t="s">
        <v>53</v>
      </c>
      <c r="J58" t="str">
        <f>PROPER(TRIM(C58))</f>
        <v>Trần Văn Bình</v>
      </c>
      <c r="K58" t="str">
        <f>PROPER(TRIM(D58))</f>
        <v>Hà Nội</v>
      </c>
      <c r="L58" t="str">
        <f>PROPER(TRIM(E58))</f>
        <v>Cánh Gà Chiên Mắm</v>
      </c>
      <c r="M58" t="str">
        <f>PROPER(H58)</f>
        <v>Tại Quán</v>
      </c>
    </row>
    <row r="59" spans="1:13" x14ac:dyDescent="0.2">
      <c r="A59" s="9"/>
      <c r="B59" s="6">
        <v>44972</v>
      </c>
      <c r="C59" s="5" t="s">
        <v>10</v>
      </c>
      <c r="D59" s="5" t="s">
        <v>11</v>
      </c>
      <c r="E59" s="5" t="s">
        <v>12</v>
      </c>
      <c r="F59" s="7">
        <v>5</v>
      </c>
      <c r="G59" s="8">
        <v>55000</v>
      </c>
      <c r="H59" s="5" t="s">
        <v>13</v>
      </c>
      <c r="I59" s="9"/>
      <c r="J59" t="str">
        <f>PROPER(TRIM(C59))</f>
        <v>Nguyễn Minh Anh</v>
      </c>
      <c r="K59" t="str">
        <f>PROPER(TRIM(D59))</f>
        <v>Hà Nội</v>
      </c>
      <c r="L59" t="str">
        <f>PROPER(TRIM(E59))</f>
        <v>Burger Bò Phô Mai</v>
      </c>
      <c r="M59" t="str">
        <f>PROPER(H59)</f>
        <v>Tại Quán</v>
      </c>
    </row>
    <row r="60" spans="1:13" x14ac:dyDescent="0.2">
      <c r="A60" s="5" t="s">
        <v>96</v>
      </c>
      <c r="B60" s="6">
        <v>44972</v>
      </c>
      <c r="C60" s="5" t="s">
        <v>25</v>
      </c>
      <c r="D60" s="5" t="s">
        <v>11</v>
      </c>
      <c r="E60" s="5" t="s">
        <v>30</v>
      </c>
      <c r="F60" s="7">
        <v>4</v>
      </c>
      <c r="G60" s="8">
        <v>59000</v>
      </c>
      <c r="H60" s="5" t="s">
        <v>31</v>
      </c>
      <c r="I60" s="9"/>
      <c r="J60" t="str">
        <f>PROPER(TRIM(C60))</f>
        <v>Trần Văn Bình</v>
      </c>
      <c r="K60" t="str">
        <f>PROPER(TRIM(D60))</f>
        <v>Hà Nội</v>
      </c>
      <c r="L60" t="str">
        <f>PROPER(TRIM(E60))</f>
        <v>Gà Rán 2 Miếng</v>
      </c>
      <c r="M60" t="str">
        <f>PROPER(H60)</f>
        <v>Grab</v>
      </c>
    </row>
    <row r="61" spans="1:13" x14ac:dyDescent="0.2">
      <c r="A61" s="5" t="s">
        <v>97</v>
      </c>
      <c r="B61" s="6">
        <v>44973</v>
      </c>
      <c r="C61" s="5" t="s">
        <v>10</v>
      </c>
      <c r="D61" s="5" t="s">
        <v>11</v>
      </c>
      <c r="E61" s="5" t="s">
        <v>98</v>
      </c>
      <c r="F61" s="7">
        <v>4</v>
      </c>
      <c r="G61" s="8">
        <v>65000</v>
      </c>
      <c r="H61" s="5" t="s">
        <v>13</v>
      </c>
      <c r="I61" s="5" t="s">
        <v>53</v>
      </c>
      <c r="J61" t="str">
        <f>PROPER(TRIM(C61))</f>
        <v>Nguyễn Minh Anh</v>
      </c>
      <c r="K61" t="str">
        <f>PROPER(TRIM(D61))</f>
        <v>Hà Nội</v>
      </c>
      <c r="L61" t="str">
        <f>PROPER(TRIM(E61))</f>
        <v>Burger Tôm</v>
      </c>
      <c r="M61" t="str">
        <f>PROPER(H61)</f>
        <v>Tại Quán</v>
      </c>
    </row>
    <row r="62" spans="1:13" x14ac:dyDescent="0.2">
      <c r="A62" s="5" t="s">
        <v>103</v>
      </c>
      <c r="B62" s="6">
        <v>44975</v>
      </c>
      <c r="C62" s="5" t="s">
        <v>10</v>
      </c>
      <c r="D62" s="5" t="s">
        <v>11</v>
      </c>
      <c r="E62" s="5" t="s">
        <v>37</v>
      </c>
      <c r="F62" s="7">
        <v>5</v>
      </c>
      <c r="G62" s="8">
        <v>25000</v>
      </c>
      <c r="H62" s="5" t="s">
        <v>13</v>
      </c>
      <c r="I62" s="5" t="s">
        <v>45</v>
      </c>
      <c r="J62" t="str">
        <f>PROPER(TRIM(C62))</f>
        <v>Nguyễn Minh Anh</v>
      </c>
      <c r="K62" t="str">
        <f>PROPER(TRIM(D62))</f>
        <v>Hà Nội</v>
      </c>
      <c r="L62" t="str">
        <f>PROPER(TRIM(E62))</f>
        <v>Khoai Tây Chiên (M)</v>
      </c>
      <c r="M62" t="str">
        <f>PROPER(H62)</f>
        <v>Tại Quán</v>
      </c>
    </row>
    <row r="63" spans="1:13" x14ac:dyDescent="0.2">
      <c r="A63" s="5" t="s">
        <v>104</v>
      </c>
      <c r="B63" s="6">
        <v>44976</v>
      </c>
      <c r="C63" s="5" t="s">
        <v>10</v>
      </c>
      <c r="D63" s="5" t="s">
        <v>11</v>
      </c>
      <c r="E63" s="5" t="s">
        <v>37</v>
      </c>
      <c r="F63" s="7">
        <v>4</v>
      </c>
      <c r="G63" s="8">
        <v>25000</v>
      </c>
      <c r="H63" s="5" t="s">
        <v>42</v>
      </c>
      <c r="I63" s="5" t="s">
        <v>23</v>
      </c>
      <c r="J63" t="str">
        <f>PROPER(TRIM(C63))</f>
        <v>Nguyễn Minh Anh</v>
      </c>
      <c r="K63" t="str">
        <f>PROPER(TRIM(D63))</f>
        <v>Hà Nội</v>
      </c>
      <c r="L63" t="str">
        <f>PROPER(TRIM(E63))</f>
        <v>Khoai Tây Chiên (M)</v>
      </c>
      <c r="M63" t="str">
        <f>PROPER(H63)</f>
        <v>Shopeefood</v>
      </c>
    </row>
    <row r="64" spans="1:13" x14ac:dyDescent="0.2">
      <c r="A64" s="5" t="s">
        <v>105</v>
      </c>
      <c r="B64" s="6">
        <v>44977</v>
      </c>
      <c r="C64" s="5" t="s">
        <v>10</v>
      </c>
      <c r="D64" s="5" t="s">
        <v>11</v>
      </c>
      <c r="E64" s="5" t="s">
        <v>70</v>
      </c>
      <c r="F64" s="7">
        <v>1</v>
      </c>
      <c r="G64" s="8">
        <v>79000</v>
      </c>
      <c r="H64" s="5" t="s">
        <v>13</v>
      </c>
      <c r="I64" s="9"/>
      <c r="J64" t="str">
        <f>PROPER(TRIM(C64))</f>
        <v>Nguyễn Minh Anh</v>
      </c>
      <c r="K64" t="str">
        <f>PROPER(TRIM(D64))</f>
        <v>Hà Nội</v>
      </c>
      <c r="L64" t="str">
        <f>PROPER(TRIM(E64))</f>
        <v>Cánh Gà Chiên Mắm</v>
      </c>
      <c r="M64" t="str">
        <f>PROPER(H64)</f>
        <v>Tại Quán</v>
      </c>
    </row>
    <row r="65" spans="1:13" x14ac:dyDescent="0.2">
      <c r="A65" s="5" t="s">
        <v>106</v>
      </c>
      <c r="B65" s="6">
        <v>44978</v>
      </c>
      <c r="C65" s="5" t="s">
        <v>107</v>
      </c>
      <c r="D65" s="5" t="s">
        <v>11</v>
      </c>
      <c r="E65" s="5" t="s">
        <v>50</v>
      </c>
      <c r="F65" s="7">
        <v>2</v>
      </c>
      <c r="G65" s="8">
        <v>35000</v>
      </c>
      <c r="H65" s="5" t="s">
        <v>31</v>
      </c>
      <c r="I65" s="9"/>
      <c r="J65" t="str">
        <f>PROPER(TRIM(C65))</f>
        <v>Võ Văn Phúc</v>
      </c>
      <c r="K65" t="str">
        <f>PROPER(TRIM(D65))</f>
        <v>Hà Nội</v>
      </c>
      <c r="L65" t="str">
        <f>PROPER(TRIM(E65))</f>
        <v>Khoai Tây Chiên (L)</v>
      </c>
      <c r="M65" t="str">
        <f>PROPER(H65)</f>
        <v>Grab</v>
      </c>
    </row>
    <row r="66" spans="1:13" x14ac:dyDescent="0.2">
      <c r="A66" s="5" t="s">
        <v>108</v>
      </c>
      <c r="B66" s="6">
        <v>44979</v>
      </c>
      <c r="C66" s="5" t="s">
        <v>25</v>
      </c>
      <c r="D66" s="5" t="s">
        <v>11</v>
      </c>
      <c r="E66" s="5" t="s">
        <v>37</v>
      </c>
      <c r="F66" s="7">
        <v>5</v>
      </c>
      <c r="G66" s="8">
        <v>25000</v>
      </c>
      <c r="H66" s="5" t="s">
        <v>13</v>
      </c>
      <c r="I66" s="5" t="s">
        <v>18</v>
      </c>
      <c r="J66" t="str">
        <f>PROPER(TRIM(C66))</f>
        <v>Trần Văn Bình</v>
      </c>
      <c r="K66" t="str">
        <f>PROPER(TRIM(D66))</f>
        <v>Hà Nội</v>
      </c>
      <c r="L66" t="str">
        <f>PROPER(TRIM(E66))</f>
        <v>Khoai Tây Chiên (M)</v>
      </c>
      <c r="M66" t="str">
        <f>PROPER(H66)</f>
        <v>Tại Quán</v>
      </c>
    </row>
    <row r="67" spans="1:13" x14ac:dyDescent="0.2">
      <c r="A67" s="5" t="s">
        <v>111</v>
      </c>
      <c r="B67" s="6">
        <v>44981</v>
      </c>
      <c r="C67" s="5" t="s">
        <v>25</v>
      </c>
      <c r="D67" s="5" t="s">
        <v>11</v>
      </c>
      <c r="E67" s="5" t="s">
        <v>50</v>
      </c>
      <c r="F67" s="7">
        <v>3</v>
      </c>
      <c r="G67" s="8">
        <v>35000</v>
      </c>
      <c r="H67" s="5" t="s">
        <v>31</v>
      </c>
      <c r="I67" s="5" t="s">
        <v>45</v>
      </c>
      <c r="J67" t="str">
        <f>PROPER(TRIM(C67))</f>
        <v>Trần Văn Bình</v>
      </c>
      <c r="K67" t="str">
        <f>PROPER(TRIM(D67))</f>
        <v>Hà Nội</v>
      </c>
      <c r="L67" t="str">
        <f>PROPER(TRIM(E67))</f>
        <v>Khoai Tây Chiên (L)</v>
      </c>
      <c r="M67" t="str">
        <f>PROPER(H67)</f>
        <v>Grab</v>
      </c>
    </row>
    <row r="68" spans="1:13" x14ac:dyDescent="0.2">
      <c r="A68" s="5" t="s">
        <v>112</v>
      </c>
      <c r="B68" s="6">
        <v>44982</v>
      </c>
      <c r="C68" s="5" t="s">
        <v>10</v>
      </c>
      <c r="D68" s="5" t="s">
        <v>11</v>
      </c>
      <c r="E68" s="5" t="s">
        <v>26</v>
      </c>
      <c r="F68" s="7">
        <v>5</v>
      </c>
      <c r="G68" s="8">
        <v>129000</v>
      </c>
      <c r="H68" s="5" t="s">
        <v>42</v>
      </c>
      <c r="I68" s="9"/>
      <c r="J68" t="str">
        <f>PROPER(TRIM(C68))</f>
        <v>Nguyễn Minh Anh</v>
      </c>
      <c r="K68" t="str">
        <f>PROPER(TRIM(D68))</f>
        <v>Hà Nội</v>
      </c>
      <c r="L68" t="str">
        <f>PROPER(TRIM(E68))</f>
        <v>Gà Rán 5 Miếng</v>
      </c>
      <c r="M68" t="str">
        <f>PROPER(H68)</f>
        <v>Shopeefood</v>
      </c>
    </row>
    <row r="69" spans="1:13" x14ac:dyDescent="0.2">
      <c r="A69" s="5" t="s">
        <v>119</v>
      </c>
      <c r="B69" s="6">
        <v>44988</v>
      </c>
      <c r="C69" s="5" t="s">
        <v>25</v>
      </c>
      <c r="D69" s="5" t="s">
        <v>11</v>
      </c>
      <c r="E69" s="5" t="s">
        <v>56</v>
      </c>
      <c r="F69" s="7">
        <v>3</v>
      </c>
      <c r="G69" s="8">
        <v>39000</v>
      </c>
      <c r="H69" s="5" t="s">
        <v>13</v>
      </c>
      <c r="I69" s="9"/>
      <c r="J69" t="str">
        <f>PROPER(TRIM(C69))</f>
        <v>Trần Văn Bình</v>
      </c>
      <c r="K69" t="str">
        <f>PROPER(TRIM(D69))</f>
        <v>Hà Nội</v>
      </c>
      <c r="L69" t="str">
        <f>PROPER(TRIM(E69))</f>
        <v>Salad Trộn</v>
      </c>
      <c r="M69" t="str">
        <f>PROPER(H69)</f>
        <v>Tại Quán</v>
      </c>
    </row>
    <row r="70" spans="1:13" x14ac:dyDescent="0.2">
      <c r="A70" s="5" t="s">
        <v>121</v>
      </c>
      <c r="B70" s="6">
        <v>45049</v>
      </c>
      <c r="C70" s="5" t="s">
        <v>10</v>
      </c>
      <c r="D70" s="5" t="s">
        <v>11</v>
      </c>
      <c r="E70" s="5" t="s">
        <v>12</v>
      </c>
      <c r="F70" s="7">
        <v>3</v>
      </c>
      <c r="G70" s="8">
        <v>55000</v>
      </c>
      <c r="H70" s="5" t="s">
        <v>13</v>
      </c>
      <c r="I70" s="9"/>
      <c r="J70" t="str">
        <f>PROPER(TRIM(C70))</f>
        <v>Nguyễn Minh Anh</v>
      </c>
      <c r="K70" t="str">
        <f>PROPER(TRIM(D70))</f>
        <v>Hà Nội</v>
      </c>
      <c r="L70" t="str">
        <f>PROPER(TRIM(E70))</f>
        <v>Burger Bò Phô Mai</v>
      </c>
      <c r="M70" t="str">
        <f>PROPER(H70)</f>
        <v>Tại Quán</v>
      </c>
    </row>
    <row r="71" spans="1:13" x14ac:dyDescent="0.2">
      <c r="A71" s="5" t="s">
        <v>124</v>
      </c>
      <c r="B71" s="6">
        <v>45080</v>
      </c>
      <c r="C71" s="5" t="s">
        <v>10</v>
      </c>
      <c r="D71" s="5" t="s">
        <v>11</v>
      </c>
      <c r="E71" s="5" t="s">
        <v>17</v>
      </c>
      <c r="F71" s="7">
        <v>1</v>
      </c>
      <c r="G71" s="8">
        <v>45000</v>
      </c>
      <c r="H71" s="5" t="s">
        <v>42</v>
      </c>
      <c r="I71" s="9"/>
      <c r="J71" t="str">
        <f>PROPER(TRIM(C71))</f>
        <v>Nguyễn Minh Anh</v>
      </c>
      <c r="K71" t="str">
        <f>PROPER(TRIM(D71))</f>
        <v>Hà Nội</v>
      </c>
      <c r="L71" t="str">
        <f>PROPER(TRIM(E71))</f>
        <v>Burger Gà Giòn</v>
      </c>
      <c r="M71" t="str">
        <f>PROPER(H71)</f>
        <v>Shopeefood</v>
      </c>
    </row>
    <row r="72" spans="1:13" x14ac:dyDescent="0.2">
      <c r="A72" s="5" t="s">
        <v>125</v>
      </c>
      <c r="B72" s="6">
        <v>45110</v>
      </c>
      <c r="C72" s="5" t="s">
        <v>10</v>
      </c>
      <c r="D72" s="5" t="s">
        <v>11</v>
      </c>
      <c r="E72" s="5" t="s">
        <v>58</v>
      </c>
      <c r="F72" s="7">
        <v>3</v>
      </c>
      <c r="G72" s="8">
        <v>18000</v>
      </c>
      <c r="H72" s="5" t="s">
        <v>42</v>
      </c>
      <c r="I72" s="5" t="s">
        <v>23</v>
      </c>
      <c r="J72" t="str">
        <f>PROPER(TRIM(C72))</f>
        <v>Nguyễn Minh Anh</v>
      </c>
      <c r="K72" t="str">
        <f>PROPER(TRIM(D72))</f>
        <v>Hà Nội</v>
      </c>
      <c r="L72" t="str">
        <f>PROPER(TRIM(E72))</f>
        <v>Pepsi</v>
      </c>
      <c r="M72" t="str">
        <f>PROPER(H72)</f>
        <v>Shopeefood</v>
      </c>
    </row>
    <row r="73" spans="1:13" x14ac:dyDescent="0.2">
      <c r="A73" s="5" t="s">
        <v>131</v>
      </c>
      <c r="B73" s="6">
        <v>45202</v>
      </c>
      <c r="C73" s="5" t="s">
        <v>25</v>
      </c>
      <c r="D73" s="5" t="s">
        <v>11</v>
      </c>
      <c r="E73" s="5" t="s">
        <v>74</v>
      </c>
      <c r="F73" s="7">
        <v>2</v>
      </c>
      <c r="G73" s="8">
        <v>18000</v>
      </c>
      <c r="H73" s="5" t="s">
        <v>31</v>
      </c>
      <c r="I73" s="9"/>
      <c r="J73" t="str">
        <f>PROPER(TRIM(C73))</f>
        <v>Trần Văn Bình</v>
      </c>
      <c r="K73" t="str">
        <f>PROPER(TRIM(D73))</f>
        <v>Hà Nội</v>
      </c>
      <c r="L73" t="str">
        <f>PROPER(TRIM(E73))</f>
        <v>Coca Cola</v>
      </c>
      <c r="M73" t="str">
        <f>PROPER(H73)</f>
        <v>Grab</v>
      </c>
    </row>
    <row r="74" spans="1:13" x14ac:dyDescent="0.2">
      <c r="A74" s="5" t="s">
        <v>133</v>
      </c>
      <c r="B74" s="6">
        <v>45233</v>
      </c>
      <c r="C74" s="5" t="s">
        <v>25</v>
      </c>
      <c r="D74" s="5" t="s">
        <v>11</v>
      </c>
      <c r="E74" s="5" t="s">
        <v>74</v>
      </c>
      <c r="F74" s="7">
        <v>1</v>
      </c>
      <c r="G74" s="8">
        <v>18000</v>
      </c>
      <c r="H74" s="5" t="s">
        <v>31</v>
      </c>
      <c r="I74" s="9"/>
      <c r="J74" t="str">
        <f>PROPER(TRIM(C74))</f>
        <v>Trần Văn Bình</v>
      </c>
      <c r="K74" t="str">
        <f>PROPER(TRIM(D74))</f>
        <v>Hà Nội</v>
      </c>
      <c r="L74" t="str">
        <f>PROPER(TRIM(E74))</f>
        <v>Coca Cola</v>
      </c>
      <c r="M74" t="str">
        <f>PROPER(H74)</f>
        <v>Grab</v>
      </c>
    </row>
    <row r="75" spans="1:13" x14ac:dyDescent="0.2">
      <c r="A75" s="5" t="s">
        <v>133</v>
      </c>
      <c r="B75" s="6">
        <v>45263</v>
      </c>
      <c r="C75" s="5" t="s">
        <v>25</v>
      </c>
      <c r="D75" s="5" t="s">
        <v>11</v>
      </c>
      <c r="E75" s="5" t="s">
        <v>74</v>
      </c>
      <c r="F75" s="7">
        <v>1</v>
      </c>
      <c r="G75" s="8">
        <v>18000</v>
      </c>
      <c r="H75" s="5" t="s">
        <v>31</v>
      </c>
      <c r="I75" s="9"/>
      <c r="J75" t="str">
        <f>PROPER(TRIM(C75))</f>
        <v>Trần Văn Bình</v>
      </c>
      <c r="K75" t="str">
        <f>PROPER(TRIM(D75))</f>
        <v>Hà Nội</v>
      </c>
      <c r="L75" t="str">
        <f>PROPER(TRIM(E75))</f>
        <v>Coca Cola</v>
      </c>
      <c r="M75" t="str">
        <f>PROPER(H75)</f>
        <v>Grab</v>
      </c>
    </row>
    <row r="76" spans="1:13" x14ac:dyDescent="0.2">
      <c r="A76" s="5" t="s">
        <v>134</v>
      </c>
      <c r="B76" s="6">
        <v>44998</v>
      </c>
      <c r="C76" s="5" t="s">
        <v>25</v>
      </c>
      <c r="D76" s="5" t="s">
        <v>11</v>
      </c>
      <c r="E76" s="5" t="s">
        <v>52</v>
      </c>
      <c r="F76" s="7">
        <v>4</v>
      </c>
      <c r="G76" s="8">
        <v>189000</v>
      </c>
      <c r="H76" s="5" t="s">
        <v>31</v>
      </c>
      <c r="I76" s="9"/>
      <c r="J76" t="str">
        <f>PROPER(TRIM(C76))</f>
        <v>Trần Văn Bình</v>
      </c>
      <c r="K76" t="str">
        <f>PROPER(TRIM(D76))</f>
        <v>Hà Nội</v>
      </c>
      <c r="L76" t="str">
        <f>PROPER(TRIM(E76))</f>
        <v>Pizza Hải Sản</v>
      </c>
      <c r="M76" t="str">
        <f>PROPER(H76)</f>
        <v>Grab</v>
      </c>
    </row>
    <row r="77" spans="1:13" x14ac:dyDescent="0.2">
      <c r="A77" s="5" t="s">
        <v>135</v>
      </c>
      <c r="B77" s="6">
        <v>44999</v>
      </c>
      <c r="C77" s="5" t="s">
        <v>25</v>
      </c>
      <c r="D77" s="5" t="s">
        <v>11</v>
      </c>
      <c r="E77" s="5" t="s">
        <v>12</v>
      </c>
      <c r="F77" s="7">
        <v>2</v>
      </c>
      <c r="G77" s="8">
        <v>55000</v>
      </c>
      <c r="H77" s="5" t="s">
        <v>31</v>
      </c>
      <c r="I77" s="5" t="s">
        <v>45</v>
      </c>
      <c r="J77" t="str">
        <f>PROPER(TRIM(C77))</f>
        <v>Trần Văn Bình</v>
      </c>
      <c r="K77" t="str">
        <f>PROPER(TRIM(D77))</f>
        <v>Hà Nội</v>
      </c>
      <c r="L77" t="str">
        <f>PROPER(TRIM(E77))</f>
        <v>Burger Bò Phô Mai</v>
      </c>
      <c r="M77" t="str">
        <f>PROPER(H77)</f>
        <v>Grab</v>
      </c>
    </row>
    <row r="78" spans="1:13" x14ac:dyDescent="0.2">
      <c r="A78" s="5" t="s">
        <v>136</v>
      </c>
      <c r="B78" s="6">
        <v>45000</v>
      </c>
      <c r="C78" s="5" t="s">
        <v>10</v>
      </c>
      <c r="D78" s="5" t="s">
        <v>11</v>
      </c>
      <c r="E78" s="5" t="s">
        <v>74</v>
      </c>
      <c r="F78" s="7">
        <v>3</v>
      </c>
      <c r="G78" s="8">
        <v>18000</v>
      </c>
      <c r="H78" s="5" t="s">
        <v>31</v>
      </c>
      <c r="I78" s="5" t="s">
        <v>23</v>
      </c>
      <c r="J78" t="str">
        <f>PROPER(TRIM(C78))</f>
        <v>Nguyễn Minh Anh</v>
      </c>
      <c r="K78" t="str">
        <f>PROPER(TRIM(D78))</f>
        <v>Hà Nội</v>
      </c>
      <c r="L78" t="str">
        <f>PROPER(TRIM(E78))</f>
        <v>Coca Cola</v>
      </c>
      <c r="M78" t="str">
        <f>PROPER(H78)</f>
        <v>Grab</v>
      </c>
    </row>
    <row r="79" spans="1:13" x14ac:dyDescent="0.2">
      <c r="A79" s="5" t="s">
        <v>145</v>
      </c>
      <c r="B79" s="6">
        <v>45005</v>
      </c>
      <c r="C79" s="5" t="s">
        <v>10</v>
      </c>
      <c r="D79" s="5" t="s">
        <v>11</v>
      </c>
      <c r="E79" s="5" t="s">
        <v>56</v>
      </c>
      <c r="F79" s="7">
        <v>3</v>
      </c>
      <c r="G79" s="8">
        <v>39000</v>
      </c>
      <c r="H79" s="5" t="s">
        <v>42</v>
      </c>
      <c r="I79" s="9"/>
      <c r="J79" t="str">
        <f>PROPER(TRIM(C79))</f>
        <v>Nguyễn Minh Anh</v>
      </c>
      <c r="K79" t="str">
        <f>PROPER(TRIM(D79))</f>
        <v>Hà Nội</v>
      </c>
      <c r="L79" t="str">
        <f>PROPER(TRIM(E79))</f>
        <v>Salad Trộn</v>
      </c>
      <c r="M79" t="str">
        <f>PROPER(H79)</f>
        <v>Shopeefood</v>
      </c>
    </row>
    <row r="80" spans="1:13" x14ac:dyDescent="0.2">
      <c r="A80" s="5" t="s">
        <v>147</v>
      </c>
      <c r="B80" s="6">
        <v>45007</v>
      </c>
      <c r="C80" s="5" t="s">
        <v>25</v>
      </c>
      <c r="D80" s="5" t="s">
        <v>11</v>
      </c>
      <c r="E80" s="5" t="s">
        <v>52</v>
      </c>
      <c r="F80" s="7">
        <v>4</v>
      </c>
      <c r="G80" s="8">
        <v>189000</v>
      </c>
      <c r="H80" s="5" t="s">
        <v>42</v>
      </c>
      <c r="I80" s="5" t="s">
        <v>53</v>
      </c>
      <c r="J80" t="str">
        <f>PROPER(TRIM(C80))</f>
        <v>Trần Văn Bình</v>
      </c>
      <c r="K80" t="str">
        <f>PROPER(TRIM(D80))</f>
        <v>Hà Nội</v>
      </c>
      <c r="L80" t="str">
        <f>PROPER(TRIM(E80))</f>
        <v>Pizza Hải Sản</v>
      </c>
      <c r="M80" t="str">
        <f>PROPER(H80)</f>
        <v>Shopeefood</v>
      </c>
    </row>
    <row r="81" spans="1:13" x14ac:dyDescent="0.2">
      <c r="A81" s="5" t="s">
        <v>154</v>
      </c>
      <c r="B81" s="6">
        <v>46105</v>
      </c>
      <c r="C81" s="5" t="s">
        <v>10</v>
      </c>
      <c r="D81" s="5" t="s">
        <v>11</v>
      </c>
      <c r="E81" s="5" t="s">
        <v>58</v>
      </c>
      <c r="F81" s="7">
        <v>2</v>
      </c>
      <c r="G81" s="8">
        <v>18000</v>
      </c>
      <c r="H81" s="5" t="s">
        <v>42</v>
      </c>
      <c r="I81" s="9"/>
      <c r="J81" t="str">
        <f>PROPER(TRIM(C81))</f>
        <v>Nguyễn Minh Anh</v>
      </c>
      <c r="K81" t="str">
        <f>PROPER(TRIM(D81))</f>
        <v>Hà Nội</v>
      </c>
      <c r="L81" t="str">
        <f>PROPER(TRIM(E81))</f>
        <v>Pepsi</v>
      </c>
      <c r="M81" t="str">
        <f>PROPER(H81)</f>
        <v>Shopeefood</v>
      </c>
    </row>
    <row r="82" spans="1:13" x14ac:dyDescent="0.2">
      <c r="A82" s="5" t="s">
        <v>159</v>
      </c>
      <c r="B82" s="6">
        <v>45138</v>
      </c>
      <c r="C82" s="5" t="s">
        <v>25</v>
      </c>
      <c r="D82" s="5" t="s">
        <v>11</v>
      </c>
      <c r="E82" s="5" t="s">
        <v>50</v>
      </c>
      <c r="F82" s="7">
        <v>1</v>
      </c>
      <c r="G82" s="8">
        <v>35000</v>
      </c>
      <c r="H82" s="5" t="s">
        <v>13</v>
      </c>
      <c r="I82" s="5" t="s">
        <v>53</v>
      </c>
      <c r="J82" t="str">
        <f>PROPER(TRIM(C82))</f>
        <v>Trần Văn Bình</v>
      </c>
      <c r="K82" t="str">
        <f>PROPER(TRIM(D82))</f>
        <v>Hà Nội</v>
      </c>
      <c r="L82" t="str">
        <f>PROPER(TRIM(E82))</f>
        <v>Khoai Tây Chiên (L)</v>
      </c>
      <c r="M82" t="str">
        <f>PROPER(H82)</f>
        <v>Tại Quán</v>
      </c>
    </row>
    <row r="83" spans="1:13" x14ac:dyDescent="0.2">
      <c r="A83" s="5" t="s">
        <v>160</v>
      </c>
      <c r="B83" s="6">
        <v>45139</v>
      </c>
      <c r="C83" s="5" t="s">
        <v>25</v>
      </c>
      <c r="D83" s="5" t="s">
        <v>11</v>
      </c>
      <c r="E83" s="5" t="s">
        <v>74</v>
      </c>
      <c r="F83" s="7">
        <v>5</v>
      </c>
      <c r="G83" s="8">
        <v>18000</v>
      </c>
      <c r="H83" s="5" t="s">
        <v>35</v>
      </c>
      <c r="I83" s="9"/>
      <c r="J83" t="str">
        <f>PROPER(TRIM(C83))</f>
        <v>Trần Văn Bình</v>
      </c>
      <c r="K83" t="str">
        <f>PROPER(TRIM(D83))</f>
        <v>Hà Nội</v>
      </c>
      <c r="L83" t="str">
        <f>PROPER(TRIM(E83))</f>
        <v>Coca Cola</v>
      </c>
      <c r="M83" t="str">
        <f>PROPER(H83)</f>
        <v>Grab</v>
      </c>
    </row>
    <row r="84" spans="1:13" x14ac:dyDescent="0.2">
      <c r="A84" s="5" t="s">
        <v>161</v>
      </c>
      <c r="B84" s="6">
        <v>45140</v>
      </c>
      <c r="C84" s="5" t="s">
        <v>25</v>
      </c>
      <c r="D84" s="5" t="s">
        <v>11</v>
      </c>
      <c r="E84" s="5" t="s">
        <v>130</v>
      </c>
      <c r="F84" s="7">
        <v>1</v>
      </c>
      <c r="G84" s="8">
        <v>25000</v>
      </c>
      <c r="H84" s="5" t="s">
        <v>31</v>
      </c>
      <c r="I84" s="9"/>
      <c r="J84" t="str">
        <f>PROPER(TRIM(C84))</f>
        <v>Trần Văn Bình</v>
      </c>
      <c r="K84" t="str">
        <f>PROPER(TRIM(D84))</f>
        <v>Hà Nội</v>
      </c>
      <c r="L84" t="str">
        <f>PROPER(TRIM(E84))</f>
        <v>Trà Đào</v>
      </c>
      <c r="M84" t="str">
        <f>PROPER(H84)</f>
        <v>Grab</v>
      </c>
    </row>
    <row r="85" spans="1:13" x14ac:dyDescent="0.2">
      <c r="A85" s="5" t="s">
        <v>164</v>
      </c>
      <c r="B85" s="6">
        <v>45173</v>
      </c>
      <c r="C85" s="5" t="s">
        <v>25</v>
      </c>
      <c r="D85" s="5" t="s">
        <v>11</v>
      </c>
      <c r="E85" s="5" t="s">
        <v>165</v>
      </c>
      <c r="F85" s="7">
        <v>4</v>
      </c>
      <c r="G85" s="8">
        <v>39000</v>
      </c>
      <c r="H85" s="5" t="s">
        <v>31</v>
      </c>
      <c r="I85" s="9"/>
      <c r="J85" t="str">
        <f>PROPER(TRIM(C85))</f>
        <v>Trần Văn Bình</v>
      </c>
      <c r="K85" t="str">
        <f>PROPER(TRIM(D85))</f>
        <v>Hà Nội</v>
      </c>
      <c r="L85" t="str">
        <f>PROPER(TRIM(E85))</f>
        <v>Salad Trộn</v>
      </c>
      <c r="M85" t="str">
        <f>PROPER(H85)</f>
        <v>Grab</v>
      </c>
    </row>
    <row r="86" spans="1:13" x14ac:dyDescent="0.2">
      <c r="A86" s="5" t="s">
        <v>171</v>
      </c>
      <c r="B86" s="6">
        <v>45030</v>
      </c>
      <c r="C86" s="5" t="s">
        <v>10</v>
      </c>
      <c r="D86" s="5" t="s">
        <v>11</v>
      </c>
      <c r="E86" s="5" t="s">
        <v>52</v>
      </c>
      <c r="F86" s="7">
        <v>4</v>
      </c>
      <c r="G86" s="8">
        <v>189000</v>
      </c>
      <c r="H86" s="5" t="s">
        <v>31</v>
      </c>
      <c r="I86" s="5" t="s">
        <v>18</v>
      </c>
      <c r="J86" t="str">
        <f>PROPER(TRIM(C86))</f>
        <v>Nguyễn Minh Anh</v>
      </c>
      <c r="K86" t="str">
        <f>PROPER(TRIM(D86))</f>
        <v>Hà Nội</v>
      </c>
      <c r="L86" t="str">
        <f>PROPER(TRIM(E86))</f>
        <v>Pizza Hải Sản</v>
      </c>
      <c r="M86" t="str">
        <f>PROPER(H86)</f>
        <v>Grab</v>
      </c>
    </row>
    <row r="87" spans="1:13" x14ac:dyDescent="0.2">
      <c r="A87" s="5" t="s">
        <v>172</v>
      </c>
      <c r="B87" s="6">
        <v>45031</v>
      </c>
      <c r="C87" s="5" t="s">
        <v>10</v>
      </c>
      <c r="D87" s="5" t="s">
        <v>11</v>
      </c>
      <c r="E87" s="5" t="s">
        <v>58</v>
      </c>
      <c r="F87" s="7">
        <v>5</v>
      </c>
      <c r="G87" s="8">
        <v>18000</v>
      </c>
      <c r="H87" s="5" t="s">
        <v>31</v>
      </c>
      <c r="I87" s="5" t="s">
        <v>38</v>
      </c>
      <c r="J87" t="str">
        <f>PROPER(TRIM(C87))</f>
        <v>Nguyễn Minh Anh</v>
      </c>
      <c r="K87" t="str">
        <f>PROPER(TRIM(D87))</f>
        <v>Hà Nội</v>
      </c>
      <c r="L87" t="str">
        <f>PROPER(TRIM(E87))</f>
        <v>Pepsi</v>
      </c>
      <c r="M87" t="str">
        <f>PROPER(H87)</f>
        <v>Grab</v>
      </c>
    </row>
    <row r="88" spans="1:13" x14ac:dyDescent="0.2">
      <c r="A88" s="5" t="s">
        <v>178</v>
      </c>
      <c r="B88" s="6">
        <v>45034</v>
      </c>
      <c r="C88" s="5" t="s">
        <v>25</v>
      </c>
      <c r="D88" s="5" t="s">
        <v>11</v>
      </c>
      <c r="E88" s="5" t="s">
        <v>37</v>
      </c>
      <c r="F88" s="7">
        <v>5</v>
      </c>
      <c r="G88" s="8">
        <v>25000</v>
      </c>
      <c r="H88" s="5" t="s">
        <v>13</v>
      </c>
      <c r="I88" s="5" t="s">
        <v>53</v>
      </c>
      <c r="J88" t="str">
        <f>PROPER(TRIM(C88))</f>
        <v>Trần Văn Bình</v>
      </c>
      <c r="K88" t="str">
        <f>PROPER(TRIM(D88))</f>
        <v>Hà Nội</v>
      </c>
      <c r="L88" t="str">
        <f>PROPER(TRIM(E88))</f>
        <v>Khoai Tây Chiên (M)</v>
      </c>
      <c r="M88" t="str">
        <f>PROPER(H88)</f>
        <v>Tại Quán</v>
      </c>
    </row>
    <row r="89" spans="1:13" x14ac:dyDescent="0.2">
      <c r="A89" s="5" t="s">
        <v>181</v>
      </c>
      <c r="B89" s="6">
        <v>45037</v>
      </c>
      <c r="C89" s="5" t="s">
        <v>182</v>
      </c>
      <c r="D89" s="5" t="s">
        <v>11</v>
      </c>
      <c r="E89" s="5" t="s">
        <v>26</v>
      </c>
      <c r="F89" s="7">
        <v>3</v>
      </c>
      <c r="G89" s="8">
        <v>129000</v>
      </c>
      <c r="H89" s="5" t="s">
        <v>31</v>
      </c>
      <c r="I89" s="5" t="s">
        <v>53</v>
      </c>
      <c r="J89" t="str">
        <f>PROPER(TRIM(C89))</f>
        <v>Phạm Hoàng Dũng</v>
      </c>
      <c r="K89" t="str">
        <f>PROPER(TRIM(D89))</f>
        <v>Hà Nội</v>
      </c>
      <c r="L89" t="str">
        <f>PROPER(TRIM(E89))</f>
        <v>Gà Rán 5 Miếng</v>
      </c>
      <c r="M89" t="str">
        <f>PROPER(H89)</f>
        <v>Grab</v>
      </c>
    </row>
    <row r="90" spans="1:13" x14ac:dyDescent="0.2">
      <c r="A90" s="5" t="s">
        <v>184</v>
      </c>
      <c r="B90" s="6">
        <v>45039</v>
      </c>
      <c r="C90" s="5" t="s">
        <v>10</v>
      </c>
      <c r="D90" s="5" t="s">
        <v>11</v>
      </c>
      <c r="E90" s="5" t="s">
        <v>48</v>
      </c>
      <c r="F90" s="7">
        <v>2</v>
      </c>
      <c r="G90" s="8">
        <v>129000</v>
      </c>
      <c r="H90" s="5" t="s">
        <v>42</v>
      </c>
      <c r="I90" s="9"/>
      <c r="J90" t="str">
        <f>PROPER(TRIM(C90))</f>
        <v>Nguyễn Minh Anh</v>
      </c>
      <c r="K90" t="str">
        <f>PROPER(TRIM(D90))</f>
        <v>Hà Nội</v>
      </c>
      <c r="L90" t="str">
        <f>PROPER(TRIM(E90))</f>
        <v>Pizza Rau Củ</v>
      </c>
      <c r="M90" t="str">
        <f>PROPER(H90)</f>
        <v>Shopeefood</v>
      </c>
    </row>
    <row r="91" spans="1:13" x14ac:dyDescent="0.2">
      <c r="A91" s="5" t="s">
        <v>185</v>
      </c>
      <c r="B91" s="6">
        <v>45039</v>
      </c>
      <c r="C91" s="5" t="s">
        <v>10</v>
      </c>
      <c r="D91" s="5" t="s">
        <v>11</v>
      </c>
      <c r="E91" s="5" t="s">
        <v>74</v>
      </c>
      <c r="F91" s="7">
        <v>1</v>
      </c>
      <c r="G91" s="8">
        <v>18000</v>
      </c>
      <c r="H91" s="5" t="s">
        <v>13</v>
      </c>
      <c r="I91" s="9"/>
      <c r="J91" t="str">
        <f>PROPER(TRIM(C91))</f>
        <v>Nguyễn Minh Anh</v>
      </c>
      <c r="K91" t="str">
        <f>PROPER(TRIM(D91))</f>
        <v>Hà Nội</v>
      </c>
      <c r="L91" t="str">
        <f>PROPER(TRIM(E91))</f>
        <v>Coca Cola</v>
      </c>
      <c r="M91" t="str">
        <f>PROPER(H91)</f>
        <v>Tại Quán</v>
      </c>
    </row>
    <row r="92" spans="1:13" x14ac:dyDescent="0.2">
      <c r="A92" s="5" t="s">
        <v>187</v>
      </c>
      <c r="B92" s="6">
        <v>45041</v>
      </c>
      <c r="C92" s="5" t="s">
        <v>10</v>
      </c>
      <c r="D92" s="5" t="s">
        <v>11</v>
      </c>
      <c r="E92" s="5" t="s">
        <v>37</v>
      </c>
      <c r="F92" s="7">
        <v>2</v>
      </c>
      <c r="G92" s="8">
        <v>25000</v>
      </c>
      <c r="H92" s="5" t="s">
        <v>31</v>
      </c>
      <c r="I92" s="9"/>
      <c r="J92" t="str">
        <f>PROPER(TRIM(C92))</f>
        <v>Nguyễn Minh Anh</v>
      </c>
      <c r="K92" t="str">
        <f>PROPER(TRIM(D92))</f>
        <v>Hà Nội</v>
      </c>
      <c r="L92" t="str">
        <f>PROPER(TRIM(E92))</f>
        <v>Khoai Tây Chiên (M)</v>
      </c>
      <c r="M92" t="str">
        <f>PROPER(H92)</f>
        <v>Grab</v>
      </c>
    </row>
    <row r="93" spans="1:13" x14ac:dyDescent="0.2">
      <c r="A93" s="5" t="s">
        <v>188</v>
      </c>
      <c r="B93" s="6">
        <v>45042</v>
      </c>
      <c r="C93" s="5" t="s">
        <v>25</v>
      </c>
      <c r="D93" s="5" t="s">
        <v>11</v>
      </c>
      <c r="E93" s="5" t="s">
        <v>37</v>
      </c>
      <c r="F93" s="7">
        <v>5</v>
      </c>
      <c r="G93" s="8">
        <v>25000</v>
      </c>
      <c r="H93" s="5" t="s">
        <v>42</v>
      </c>
      <c r="I93" s="9"/>
      <c r="J93" t="str">
        <f>PROPER(TRIM(C93))</f>
        <v>Trần Văn Bình</v>
      </c>
      <c r="K93" t="str">
        <f>PROPER(TRIM(D93))</f>
        <v>Hà Nội</v>
      </c>
      <c r="L93" t="str">
        <f>PROPER(TRIM(E93))</f>
        <v>Khoai Tây Chiên (M)</v>
      </c>
      <c r="M93" t="str">
        <f>PROPER(H93)</f>
        <v>Shopeefood</v>
      </c>
    </row>
    <row r="94" spans="1:13" x14ac:dyDescent="0.2">
      <c r="A94" s="5" t="s">
        <v>195</v>
      </c>
      <c r="B94" s="10">
        <v>45094</v>
      </c>
      <c r="C94" s="5" t="s">
        <v>25</v>
      </c>
      <c r="D94" s="5" t="s">
        <v>11</v>
      </c>
      <c r="E94" s="5" t="s">
        <v>56</v>
      </c>
      <c r="F94" s="7">
        <v>5</v>
      </c>
      <c r="G94" s="8">
        <v>39000</v>
      </c>
      <c r="H94" s="5" t="s">
        <v>42</v>
      </c>
      <c r="I94" s="9"/>
      <c r="J94" t="str">
        <f>PROPER(TRIM(C94))</f>
        <v>Trần Văn Bình</v>
      </c>
      <c r="K94" t="str">
        <f>PROPER(TRIM(D94))</f>
        <v>Hà Nội</v>
      </c>
      <c r="L94" t="str">
        <f>PROPER(TRIM(E94))</f>
        <v>Salad Trộn</v>
      </c>
      <c r="M94" t="str">
        <f>PROPER(H94)</f>
        <v>Shopeefood</v>
      </c>
    </row>
    <row r="95" spans="1:13" x14ac:dyDescent="0.2">
      <c r="A95" s="5" t="s">
        <v>198</v>
      </c>
      <c r="B95" s="10">
        <v>45097</v>
      </c>
      <c r="C95" s="5" t="s">
        <v>25</v>
      </c>
      <c r="D95" s="5" t="s">
        <v>11</v>
      </c>
      <c r="E95" s="5" t="s">
        <v>74</v>
      </c>
      <c r="F95" s="7">
        <v>4</v>
      </c>
      <c r="G95" s="8">
        <v>18000</v>
      </c>
      <c r="H95" s="5" t="s">
        <v>42</v>
      </c>
      <c r="I95" s="5" t="s">
        <v>18</v>
      </c>
      <c r="J95" t="str">
        <f>PROPER(TRIM(C95))</f>
        <v>Trần Văn Bình</v>
      </c>
      <c r="K95" t="str">
        <f>PROPER(TRIM(D95))</f>
        <v>Hà Nội</v>
      </c>
      <c r="L95" t="str">
        <f>PROPER(TRIM(E95))</f>
        <v>Coca Cola</v>
      </c>
      <c r="M95" t="str">
        <f>PROPER(H95)</f>
        <v>Shopeefood</v>
      </c>
    </row>
    <row r="96" spans="1:13" x14ac:dyDescent="0.2">
      <c r="A96" s="5" t="s">
        <v>203</v>
      </c>
      <c r="B96" s="10">
        <v>45101</v>
      </c>
      <c r="C96" s="5" t="s">
        <v>25</v>
      </c>
      <c r="D96" s="5" t="s">
        <v>11</v>
      </c>
      <c r="E96" s="5" t="s">
        <v>17</v>
      </c>
      <c r="F96" s="7">
        <v>2</v>
      </c>
      <c r="G96" s="8">
        <v>45000</v>
      </c>
      <c r="H96" s="5" t="s">
        <v>42</v>
      </c>
      <c r="I96" s="5" t="s">
        <v>53</v>
      </c>
      <c r="J96" t="str">
        <f>PROPER(TRIM(C96))</f>
        <v>Trần Văn Bình</v>
      </c>
      <c r="K96" t="str">
        <f>PROPER(TRIM(D96))</f>
        <v>Hà Nội</v>
      </c>
      <c r="L96" t="str">
        <f>PROPER(TRIM(E96))</f>
        <v>Burger Gà Giòn</v>
      </c>
      <c r="M96" t="str">
        <f>PROPER(H96)</f>
        <v>Shopeefood</v>
      </c>
    </row>
    <row r="97" spans="1:13" x14ac:dyDescent="0.2">
      <c r="A97" s="5" t="s">
        <v>206</v>
      </c>
      <c r="B97" s="10">
        <v>45104</v>
      </c>
      <c r="C97" s="5" t="s">
        <v>25</v>
      </c>
      <c r="D97" s="5" t="s">
        <v>11</v>
      </c>
      <c r="E97" s="5" t="s">
        <v>30</v>
      </c>
      <c r="F97" s="7">
        <v>2</v>
      </c>
      <c r="G97" s="8">
        <v>59000</v>
      </c>
      <c r="H97" s="5" t="s">
        <v>31</v>
      </c>
      <c r="I97" s="5" t="s">
        <v>18</v>
      </c>
      <c r="J97" t="str">
        <f>PROPER(TRIM(C97))</f>
        <v>Trần Văn Bình</v>
      </c>
      <c r="K97" t="str">
        <f>PROPER(TRIM(D97))</f>
        <v>Hà Nội</v>
      </c>
      <c r="L97" t="str">
        <f>PROPER(TRIM(E97))</f>
        <v>Gà Rán 2 Miếng</v>
      </c>
      <c r="M97" t="str">
        <f>PROPER(H97)</f>
        <v>Grab</v>
      </c>
    </row>
    <row r="98" spans="1:13" x14ac:dyDescent="0.2">
      <c r="A98" s="5" t="s">
        <v>209</v>
      </c>
      <c r="B98" s="10">
        <v>45107</v>
      </c>
      <c r="C98" s="5" t="s">
        <v>25</v>
      </c>
      <c r="D98" s="5" t="s">
        <v>11</v>
      </c>
      <c r="E98" s="5" t="s">
        <v>17</v>
      </c>
      <c r="F98" s="7">
        <v>2</v>
      </c>
      <c r="G98" s="8">
        <v>45000</v>
      </c>
      <c r="H98" s="5" t="s">
        <v>31</v>
      </c>
      <c r="I98" s="9"/>
      <c r="J98" t="str">
        <f>PROPER(TRIM(C98))</f>
        <v>Trần Văn Bình</v>
      </c>
      <c r="K98" t="str">
        <f>PROPER(TRIM(D98))</f>
        <v>Hà Nội</v>
      </c>
      <c r="L98" t="str">
        <f>PROPER(TRIM(E98))</f>
        <v>Burger Gà Giòn</v>
      </c>
      <c r="M98" t="str">
        <f>PROPER(H98)</f>
        <v>Grab</v>
      </c>
    </row>
    <row r="99" spans="1:13" x14ac:dyDescent="0.2">
      <c r="A99" s="5" t="s">
        <v>96</v>
      </c>
      <c r="B99" s="10">
        <v>45108</v>
      </c>
      <c r="C99" s="5" t="s">
        <v>10</v>
      </c>
      <c r="D99" s="5" t="s">
        <v>11</v>
      </c>
      <c r="E99" s="5" t="s">
        <v>12</v>
      </c>
      <c r="F99" s="7">
        <v>2</v>
      </c>
      <c r="G99" s="8">
        <v>55000</v>
      </c>
      <c r="H99" s="5" t="s">
        <v>31</v>
      </c>
      <c r="I99" s="9"/>
      <c r="J99" t="str">
        <f>PROPER(TRIM(C99))</f>
        <v>Nguyễn Minh Anh</v>
      </c>
      <c r="K99" t="str">
        <f>PROPER(TRIM(D99))</f>
        <v>Hà Nội</v>
      </c>
      <c r="L99" t="str">
        <f>PROPER(TRIM(E99))</f>
        <v>Burger Bò Phô Mai</v>
      </c>
      <c r="M99" t="str">
        <f>PROPER(H99)</f>
        <v>Grab</v>
      </c>
    </row>
    <row r="100" spans="1:13" x14ac:dyDescent="0.2">
      <c r="A100" s="5" t="s">
        <v>96</v>
      </c>
      <c r="B100" s="10">
        <v>45109</v>
      </c>
      <c r="C100" s="5" t="s">
        <v>10</v>
      </c>
      <c r="D100" s="5" t="s">
        <v>11</v>
      </c>
      <c r="E100" s="5" t="s">
        <v>12</v>
      </c>
      <c r="F100" s="7">
        <v>2</v>
      </c>
      <c r="G100" s="8">
        <v>55000</v>
      </c>
      <c r="H100" s="5" t="s">
        <v>31</v>
      </c>
      <c r="I100" s="9"/>
      <c r="J100" t="str">
        <f>PROPER(TRIM(C100))</f>
        <v>Nguyễn Minh Anh</v>
      </c>
      <c r="K100" t="str">
        <f>PROPER(TRIM(D100))</f>
        <v>Hà Nội</v>
      </c>
      <c r="L100" t="str">
        <f>PROPER(TRIM(E100))</f>
        <v>Burger Bò Phô Mai</v>
      </c>
      <c r="M100" t="str">
        <f>PROPER(H100)</f>
        <v>Grab</v>
      </c>
    </row>
    <row r="101" spans="1:13" x14ac:dyDescent="0.2">
      <c r="A101" s="5" t="s">
        <v>14</v>
      </c>
      <c r="B101" s="6">
        <v>44986</v>
      </c>
      <c r="C101" s="5" t="s">
        <v>15</v>
      </c>
      <c r="D101" s="5" t="s">
        <v>16</v>
      </c>
      <c r="E101" s="5" t="s">
        <v>17</v>
      </c>
      <c r="F101" s="7">
        <v>5</v>
      </c>
      <c r="G101" s="8">
        <v>45000</v>
      </c>
      <c r="H101" s="5" t="s">
        <v>13</v>
      </c>
      <c r="I101" s="5" t="s">
        <v>18</v>
      </c>
      <c r="J101" t="str">
        <f>PROPER(TRIM(C101))</f>
        <v>Võ Văn Phúc</v>
      </c>
      <c r="K101" t="str">
        <f>PROPER(TRIM(D101))</f>
        <v>Tp.Hcm</v>
      </c>
      <c r="L101" t="str">
        <f>PROPER(TRIM(E101))</f>
        <v>Burger Gà Giòn</v>
      </c>
      <c r="M101" t="str">
        <f>PROPER(H101)</f>
        <v>Tại Quán</v>
      </c>
    </row>
    <row r="102" spans="1:13" x14ac:dyDescent="0.2">
      <c r="A102" s="5" t="s">
        <v>28</v>
      </c>
      <c r="B102" s="6">
        <v>45047</v>
      </c>
      <c r="C102" s="5" t="s">
        <v>29</v>
      </c>
      <c r="D102" s="5" t="s">
        <v>16</v>
      </c>
      <c r="E102" s="5" t="s">
        <v>30</v>
      </c>
      <c r="F102" s="7">
        <v>3</v>
      </c>
      <c r="G102" s="8">
        <v>59000</v>
      </c>
      <c r="H102" s="5" t="s">
        <v>31</v>
      </c>
      <c r="I102" s="9"/>
      <c r="J102" t="str">
        <f>PROPER(TRIM(C102))</f>
        <v>Nguyễn Minh Anh</v>
      </c>
      <c r="K102" t="str">
        <f>PROPER(TRIM(D102))</f>
        <v>Tp.Hcm</v>
      </c>
      <c r="L102" t="str">
        <f>PROPER(TRIM(E102))</f>
        <v>Gà Rán 2 Miếng</v>
      </c>
      <c r="M102" t="str">
        <f>PROPER(H103)</f>
        <v>Shopeefood</v>
      </c>
    </row>
    <row r="103" spans="1:13" x14ac:dyDescent="0.2">
      <c r="A103" s="5" t="s">
        <v>41</v>
      </c>
      <c r="B103" s="6">
        <v>45139</v>
      </c>
      <c r="C103" s="5" t="s">
        <v>15</v>
      </c>
      <c r="D103" s="5" t="s">
        <v>16</v>
      </c>
      <c r="E103" s="5" t="s">
        <v>37</v>
      </c>
      <c r="F103" s="7">
        <v>3</v>
      </c>
      <c r="G103" s="8">
        <v>25000</v>
      </c>
      <c r="H103" s="5" t="s">
        <v>42</v>
      </c>
      <c r="I103" s="9"/>
      <c r="J103" t="str">
        <f>PROPER(TRIM(C103))</f>
        <v>Võ Văn Phúc</v>
      </c>
      <c r="K103" t="str">
        <f>PROPER(TRIM(D103))</f>
        <v>Tp.Hcm</v>
      </c>
      <c r="L103" t="str">
        <f>PROPER(TRIM(E103))</f>
        <v>Khoai Tây Chiên (M)</v>
      </c>
      <c r="M103" t="str">
        <f>PROPER(H103)</f>
        <v>Shopeefood</v>
      </c>
    </row>
    <row r="104" spans="1:13" x14ac:dyDescent="0.2">
      <c r="A104" s="5" t="s">
        <v>49</v>
      </c>
      <c r="B104" s="6">
        <v>45261</v>
      </c>
      <c r="C104" s="5" t="s">
        <v>15</v>
      </c>
      <c r="D104" s="5" t="s">
        <v>16</v>
      </c>
      <c r="E104" s="5" t="s">
        <v>50</v>
      </c>
      <c r="F104" s="7">
        <v>1</v>
      </c>
      <c r="G104" s="8">
        <v>35000</v>
      </c>
      <c r="H104" s="5" t="s">
        <v>42</v>
      </c>
      <c r="I104" s="9"/>
      <c r="J104" t="str">
        <f>PROPER(TRIM(C104))</f>
        <v>Võ Văn Phúc</v>
      </c>
      <c r="K104" t="str">
        <f>PROPER(TRIM(D104))</f>
        <v>Tp.Hcm</v>
      </c>
      <c r="L104" t="str">
        <f>PROPER(TRIM(E104))</f>
        <v>Khoai Tây Chiên (L)</v>
      </c>
      <c r="M104" t="str">
        <f>PROPER(H104)</f>
        <v>Shopeefood</v>
      </c>
    </row>
    <row r="105" spans="1:13" x14ac:dyDescent="0.2">
      <c r="A105" s="5" t="s">
        <v>51</v>
      </c>
      <c r="B105" s="6">
        <v>45261</v>
      </c>
      <c r="C105" s="5" t="s">
        <v>15</v>
      </c>
      <c r="D105" s="5" t="s">
        <v>16</v>
      </c>
      <c r="E105" s="5" t="s">
        <v>52</v>
      </c>
      <c r="F105" s="7">
        <v>2</v>
      </c>
      <c r="G105" s="8">
        <v>189000</v>
      </c>
      <c r="H105" s="5" t="s">
        <v>31</v>
      </c>
      <c r="I105" s="5" t="s">
        <v>53</v>
      </c>
      <c r="J105" t="str">
        <f>PROPER(TRIM(C105))</f>
        <v>Võ Văn Phúc</v>
      </c>
      <c r="K105" t="str">
        <f>PROPER(TRIM(D105))</f>
        <v>Tp.Hcm</v>
      </c>
      <c r="L105" t="str">
        <f>PROPER(TRIM(E105))</f>
        <v>Pizza Hải Sản</v>
      </c>
      <c r="M105" t="str">
        <f>PROPER(H105)</f>
        <v>Grab</v>
      </c>
    </row>
    <row r="106" spans="1:13" x14ac:dyDescent="0.2">
      <c r="A106" s="5" t="s">
        <v>60</v>
      </c>
      <c r="B106" s="6">
        <v>44941</v>
      </c>
      <c r="C106" s="5" t="s">
        <v>15</v>
      </c>
      <c r="D106" s="5" t="s">
        <v>16</v>
      </c>
      <c r="E106" s="5" t="s">
        <v>26</v>
      </c>
      <c r="F106" s="7">
        <v>4</v>
      </c>
      <c r="G106" s="8">
        <v>129000</v>
      </c>
      <c r="H106" s="5" t="s">
        <v>42</v>
      </c>
      <c r="I106" s="5" t="s">
        <v>38</v>
      </c>
      <c r="J106" t="str">
        <f>PROPER(TRIM(C106))</f>
        <v>Võ Văn Phúc</v>
      </c>
      <c r="K106" t="str">
        <f>PROPER(TRIM(D106))</f>
        <v>Tp.Hcm</v>
      </c>
      <c r="L106" t="str">
        <f>PROPER(TRIM(E106))</f>
        <v>Gà Rán 5 Miếng</v>
      </c>
      <c r="M106" t="str">
        <f>PROPER(H106)</f>
        <v>Shopeefood</v>
      </c>
    </row>
    <row r="107" spans="1:13" x14ac:dyDescent="0.2">
      <c r="A107" s="5" t="s">
        <v>71</v>
      </c>
      <c r="B107" s="6">
        <v>44947</v>
      </c>
      <c r="C107" s="5" t="s">
        <v>15</v>
      </c>
      <c r="D107" s="5" t="s">
        <v>16</v>
      </c>
      <c r="E107" s="5" t="s">
        <v>17</v>
      </c>
      <c r="F107" s="7">
        <v>5</v>
      </c>
      <c r="G107" s="8">
        <v>45000</v>
      </c>
      <c r="H107" s="5" t="s">
        <v>31</v>
      </c>
      <c r="I107" s="5" t="s">
        <v>45</v>
      </c>
      <c r="J107" t="str">
        <f>PROPER(TRIM(C107))</f>
        <v>Võ Văn Phúc</v>
      </c>
      <c r="K107" t="str">
        <f>PROPER(TRIM(D107))</f>
        <v>Tp.Hcm</v>
      </c>
      <c r="L107" t="str">
        <f>PROPER(TRIM(E107))</f>
        <v>Burger Gà Giòn</v>
      </c>
      <c r="M107" t="str">
        <f>PROPER(H107)</f>
        <v>Grab</v>
      </c>
    </row>
    <row r="108" spans="1:13" x14ac:dyDescent="0.2">
      <c r="A108" s="5" t="s">
        <v>77</v>
      </c>
      <c r="B108" s="6">
        <v>44928</v>
      </c>
      <c r="C108" s="5" t="s">
        <v>21</v>
      </c>
      <c r="D108" s="5" t="s">
        <v>16</v>
      </c>
      <c r="E108" s="5" t="s">
        <v>78</v>
      </c>
      <c r="F108" s="7">
        <v>4</v>
      </c>
      <c r="G108" s="8">
        <v>129000</v>
      </c>
      <c r="H108" s="5" t="s">
        <v>13</v>
      </c>
      <c r="I108" s="9"/>
      <c r="J108" t="str">
        <f>PROPER(TRIM(C108))</f>
        <v>Hoàng Thị Em</v>
      </c>
      <c r="K108" t="str">
        <f>PROPER(TRIM(D108))</f>
        <v>Tp.Hcm</v>
      </c>
      <c r="L108" t="str">
        <f>PROPER(TRIM(E108))</f>
        <v>Gà Rán 2 Miếng</v>
      </c>
      <c r="M108" t="str">
        <f>PROPER(H108)</f>
        <v>Tại Quán</v>
      </c>
    </row>
    <row r="109" spans="1:13" x14ac:dyDescent="0.2">
      <c r="A109" s="5" t="s">
        <v>82</v>
      </c>
      <c r="B109" s="6">
        <v>45018</v>
      </c>
      <c r="C109" s="5" t="s">
        <v>83</v>
      </c>
      <c r="D109" s="5" t="s">
        <v>16</v>
      </c>
      <c r="E109" s="5" t="s">
        <v>58</v>
      </c>
      <c r="F109" s="7">
        <v>5</v>
      </c>
      <c r="G109" s="8">
        <v>18000</v>
      </c>
      <c r="H109" s="5" t="s">
        <v>31</v>
      </c>
      <c r="I109" s="9"/>
      <c r="J109" t="str">
        <f>PROPER(TRIM(C109))</f>
        <v>Phạm Hoàng Dũng</v>
      </c>
      <c r="K109" t="str">
        <f>PROPER(TRIM(D109))</f>
        <v>Tp.Hcm</v>
      </c>
      <c r="L109" t="str">
        <f>PROPER(TRIM(E109))</f>
        <v>Pepsi</v>
      </c>
      <c r="M109" t="str">
        <f>PROPER(H109)</f>
        <v>Grab</v>
      </c>
    </row>
    <row r="110" spans="1:13" x14ac:dyDescent="0.2">
      <c r="A110" s="5" t="s">
        <v>84</v>
      </c>
      <c r="B110" s="6">
        <v>45048</v>
      </c>
      <c r="C110" s="5" t="s">
        <v>15</v>
      </c>
      <c r="D110" s="5" t="s">
        <v>16</v>
      </c>
      <c r="E110" s="5" t="s">
        <v>56</v>
      </c>
      <c r="F110" s="7">
        <v>2</v>
      </c>
      <c r="G110" s="8">
        <v>39000</v>
      </c>
      <c r="H110" s="5" t="s">
        <v>42</v>
      </c>
      <c r="I110" s="9"/>
      <c r="J110" t="str">
        <f>PROPER(TRIM(C110))</f>
        <v>Võ Văn Phúc</v>
      </c>
      <c r="K110" t="str">
        <f>PROPER(TRIM(D110))</f>
        <v>Tp.Hcm</v>
      </c>
      <c r="L110" t="str">
        <f>PROPER(TRIM(E110))</f>
        <v>Salad Trộn</v>
      </c>
      <c r="M110" t="str">
        <f>PROPER(H110)</f>
        <v>Shopeefood</v>
      </c>
    </row>
    <row r="111" spans="1:13" x14ac:dyDescent="0.2">
      <c r="A111" s="5" t="s">
        <v>85</v>
      </c>
      <c r="B111" s="6">
        <v>45048</v>
      </c>
      <c r="C111" s="5" t="s">
        <v>15</v>
      </c>
      <c r="D111" s="5" t="s">
        <v>16</v>
      </c>
      <c r="E111" s="5" t="s">
        <v>50</v>
      </c>
      <c r="F111" s="7">
        <v>3</v>
      </c>
      <c r="G111" s="8">
        <v>35000</v>
      </c>
      <c r="H111" s="5" t="s">
        <v>31</v>
      </c>
      <c r="I111" s="5" t="s">
        <v>23</v>
      </c>
      <c r="J111" t="str">
        <f>PROPER(TRIM(C111))</f>
        <v>Võ Văn Phúc</v>
      </c>
      <c r="K111" t="str">
        <f>PROPER(TRIM(D111))</f>
        <v>Tp.Hcm</v>
      </c>
      <c r="L111" t="str">
        <f>PROPER(TRIM(E111))</f>
        <v>Khoai Tây Chiên (L)</v>
      </c>
      <c r="M111" t="str">
        <f>PROPER(H111)</f>
        <v>Grab</v>
      </c>
    </row>
    <row r="112" spans="1:13" x14ac:dyDescent="0.2">
      <c r="A112" s="5" t="s">
        <v>87</v>
      </c>
      <c r="B112" s="6">
        <v>45109</v>
      </c>
      <c r="C112" s="5" t="s">
        <v>21</v>
      </c>
      <c r="D112" s="5" t="s">
        <v>16</v>
      </c>
      <c r="E112" s="5" t="s">
        <v>70</v>
      </c>
      <c r="F112" s="7">
        <v>2</v>
      </c>
      <c r="G112" s="8">
        <v>79000</v>
      </c>
      <c r="H112" s="5" t="s">
        <v>42</v>
      </c>
      <c r="I112" s="9"/>
      <c r="J112" t="str">
        <f>PROPER(TRIM(C112))</f>
        <v>Hoàng Thị Em</v>
      </c>
      <c r="K112" t="str">
        <f>PROPER(TRIM(D112))</f>
        <v>Tp.Hcm</v>
      </c>
      <c r="L112" t="str">
        <f>PROPER(TRIM(E112))</f>
        <v>Cánh Gà Chiên Mắm</v>
      </c>
      <c r="M112" t="str">
        <f>PROPER(H112)</f>
        <v>Shopeefood</v>
      </c>
    </row>
    <row r="113" spans="1:13" x14ac:dyDescent="0.2">
      <c r="A113" s="5" t="s">
        <v>101</v>
      </c>
      <c r="B113" s="6">
        <v>44975</v>
      </c>
      <c r="C113" s="5" t="s">
        <v>15</v>
      </c>
      <c r="D113" s="5" t="s">
        <v>16</v>
      </c>
      <c r="E113" s="5" t="s">
        <v>102</v>
      </c>
      <c r="F113" s="7">
        <v>2</v>
      </c>
      <c r="G113" s="8">
        <v>129000</v>
      </c>
      <c r="H113" s="5" t="s">
        <v>13</v>
      </c>
      <c r="I113" s="9"/>
      <c r="J113" t="str">
        <f>PROPER(TRIM(C113))</f>
        <v>Võ Văn Phúc</v>
      </c>
      <c r="K113" t="str">
        <f>PROPER(TRIM(D113))</f>
        <v>Tp.Hcm</v>
      </c>
      <c r="L113" t="str">
        <f>PROPER(TRIM(E113))</f>
        <v>Coca Cola</v>
      </c>
      <c r="M113" t="str">
        <f>PROPER(H113)</f>
        <v>Tại Quán</v>
      </c>
    </row>
    <row r="114" spans="1:13" x14ac:dyDescent="0.2">
      <c r="A114" s="5" t="s">
        <v>113</v>
      </c>
      <c r="B114" s="6">
        <v>44983</v>
      </c>
      <c r="C114" s="5" t="s">
        <v>21</v>
      </c>
      <c r="D114" s="5" t="s">
        <v>16</v>
      </c>
      <c r="E114" s="5" t="s">
        <v>52</v>
      </c>
      <c r="F114" s="7">
        <v>5</v>
      </c>
      <c r="G114" s="8">
        <v>189000</v>
      </c>
      <c r="H114" s="5" t="s">
        <v>31</v>
      </c>
      <c r="I114" s="9"/>
      <c r="J114" t="str">
        <f>PROPER(TRIM(C114))</f>
        <v>Hoàng Thị Em</v>
      </c>
      <c r="K114" t="str">
        <f>PROPER(TRIM(D114))</f>
        <v>Tp.Hcm</v>
      </c>
      <c r="L114" t="str">
        <f>PROPER(TRIM(E114))</f>
        <v>Pizza Hải Sản</v>
      </c>
      <c r="M114" t="str">
        <f>PROPER(H114)</f>
        <v>Grab</v>
      </c>
    </row>
    <row r="115" spans="1:13" x14ac:dyDescent="0.2">
      <c r="A115" s="5" t="s">
        <v>116</v>
      </c>
      <c r="B115" s="6">
        <v>44929</v>
      </c>
      <c r="C115" s="5" t="s">
        <v>15</v>
      </c>
      <c r="D115" s="5" t="s">
        <v>16</v>
      </c>
      <c r="E115" s="5" t="s">
        <v>70</v>
      </c>
      <c r="F115" s="7">
        <v>1</v>
      </c>
      <c r="G115" s="8">
        <v>79000</v>
      </c>
      <c r="H115" s="5" t="s">
        <v>42</v>
      </c>
      <c r="I115" s="5" t="s">
        <v>23</v>
      </c>
      <c r="J115" t="str">
        <f>PROPER(TRIM(C115))</f>
        <v>Võ Văn Phúc</v>
      </c>
      <c r="K115" t="str">
        <f>PROPER(TRIM(D115))</f>
        <v>Tp.Hcm</v>
      </c>
      <c r="L115" t="str">
        <f>PROPER(TRIM(E115))</f>
        <v>Cánh Gà Chiên Mắm</v>
      </c>
      <c r="M115" t="str">
        <f>PROPER(H115)</f>
        <v>Shopeefood</v>
      </c>
    </row>
    <row r="116" spans="1:13" x14ac:dyDescent="0.2">
      <c r="A116" s="5" t="s">
        <v>117</v>
      </c>
      <c r="B116" s="6">
        <v>44960</v>
      </c>
      <c r="C116" s="5" t="s">
        <v>15</v>
      </c>
      <c r="D116" s="5" t="s">
        <v>16</v>
      </c>
      <c r="E116" s="5" t="s">
        <v>17</v>
      </c>
      <c r="F116" s="7">
        <v>2</v>
      </c>
      <c r="G116" s="8">
        <v>45000</v>
      </c>
      <c r="H116" s="5" t="s">
        <v>31</v>
      </c>
      <c r="I116" s="9"/>
      <c r="J116" t="str">
        <f>PROPER(TRIM(C116))</f>
        <v>Võ Văn Phúc</v>
      </c>
      <c r="K116" t="str">
        <f>PROPER(TRIM(D116))</f>
        <v>Tp.Hcm</v>
      </c>
      <c r="L116" t="str">
        <f>PROPER(TRIM(E116))</f>
        <v>Burger Gà Giòn</v>
      </c>
      <c r="M116" t="str">
        <f>PROPER(H116)</f>
        <v>Grab</v>
      </c>
    </row>
    <row r="117" spans="1:13" x14ac:dyDescent="0.2">
      <c r="A117" s="5" t="s">
        <v>118</v>
      </c>
      <c r="B117" s="6">
        <v>44960</v>
      </c>
      <c r="C117" s="5" t="s">
        <v>10</v>
      </c>
      <c r="D117" s="5" t="s">
        <v>16</v>
      </c>
      <c r="E117" s="5" t="s">
        <v>70</v>
      </c>
      <c r="F117" s="7">
        <v>2</v>
      </c>
      <c r="G117" s="8">
        <v>79000</v>
      </c>
      <c r="H117" s="5" t="s">
        <v>27</v>
      </c>
      <c r="I117" s="9"/>
      <c r="J117" t="str">
        <f>PROPER(TRIM(C117))</f>
        <v>Nguyễn Minh Anh</v>
      </c>
      <c r="K117" t="str">
        <f>PROPER(TRIM(D117))</f>
        <v>Tp.Hcm</v>
      </c>
      <c r="L117" t="str">
        <f>PROPER(TRIM(E117))</f>
        <v>Cánh Gà Chiên Mắm</v>
      </c>
      <c r="M117" t="str">
        <f>PROPER(H124)</f>
        <v>Grab</v>
      </c>
    </row>
    <row r="118" spans="1:13" x14ac:dyDescent="0.2">
      <c r="A118" s="5" t="s">
        <v>122</v>
      </c>
      <c r="B118" s="6">
        <v>45049</v>
      </c>
      <c r="C118" s="5" t="s">
        <v>15</v>
      </c>
      <c r="D118" s="5" t="s">
        <v>16</v>
      </c>
      <c r="E118" s="5" t="s">
        <v>26</v>
      </c>
      <c r="F118" s="7">
        <v>5</v>
      </c>
      <c r="G118" s="8">
        <v>129000</v>
      </c>
      <c r="H118" s="5" t="s">
        <v>123</v>
      </c>
      <c r="I118" s="5" t="s">
        <v>53</v>
      </c>
      <c r="J118" t="str">
        <f>PROPER(TRIM(C118))</f>
        <v>Võ Văn Phúc</v>
      </c>
      <c r="K118" t="str">
        <f>PROPER(TRIM(D118))</f>
        <v>Tp.Hcm</v>
      </c>
      <c r="L118" t="str">
        <f>PROPER(TRIM(E118))</f>
        <v>Gà Rán 5 Miếng</v>
      </c>
      <c r="M118" t="str">
        <f>PROPER(H118)</f>
        <v>Shopee</v>
      </c>
    </row>
    <row r="119" spans="1:13" x14ac:dyDescent="0.2">
      <c r="A119" s="5" t="s">
        <v>129</v>
      </c>
      <c r="B119" s="6">
        <v>45172</v>
      </c>
      <c r="C119" s="5" t="s">
        <v>21</v>
      </c>
      <c r="D119" s="5" t="s">
        <v>16</v>
      </c>
      <c r="E119" s="5" t="s">
        <v>130</v>
      </c>
      <c r="F119" s="7">
        <v>4</v>
      </c>
      <c r="G119" s="8">
        <v>25000</v>
      </c>
      <c r="H119" s="5" t="s">
        <v>42</v>
      </c>
      <c r="I119" s="9"/>
      <c r="J119" t="str">
        <f>PROPER(TRIM(C119))</f>
        <v>Hoàng Thị Em</v>
      </c>
      <c r="K119" t="str">
        <f>PROPER(TRIM(D119))</f>
        <v>Tp.Hcm</v>
      </c>
      <c r="L119" t="str">
        <f>PROPER(TRIM(E119))</f>
        <v>Trà Đào</v>
      </c>
      <c r="M119" t="str">
        <f>PROPER(H119)</f>
        <v>Shopeefood</v>
      </c>
    </row>
    <row r="120" spans="1:13" x14ac:dyDescent="0.2">
      <c r="A120" s="5" t="s">
        <v>132</v>
      </c>
      <c r="B120" s="6">
        <v>45233</v>
      </c>
      <c r="C120" s="5" t="s">
        <v>25</v>
      </c>
      <c r="D120" s="5" t="s">
        <v>16</v>
      </c>
      <c r="E120" s="5" t="s">
        <v>130</v>
      </c>
      <c r="F120" s="7">
        <v>3</v>
      </c>
      <c r="G120" s="8">
        <v>25000</v>
      </c>
      <c r="H120" s="5" t="s">
        <v>31</v>
      </c>
      <c r="I120" s="9"/>
      <c r="J120" t="str">
        <f>PROPER(TRIM(C120))</f>
        <v>Trần Văn Bình</v>
      </c>
      <c r="K120" t="str">
        <f>PROPER(TRIM(D120))</f>
        <v>Tp.Hcm</v>
      </c>
      <c r="L120" t="str">
        <f>PROPER(TRIM(E120))</f>
        <v>Trà Đào</v>
      </c>
      <c r="M120" t="str">
        <f>PROPER(H120)</f>
        <v>Grab</v>
      </c>
    </row>
    <row r="121" spans="1:13" x14ac:dyDescent="0.2">
      <c r="A121" s="5" t="s">
        <v>137</v>
      </c>
      <c r="B121" s="6">
        <v>45000</v>
      </c>
      <c r="C121" s="5" t="s">
        <v>15</v>
      </c>
      <c r="D121" s="5" t="s">
        <v>16</v>
      </c>
      <c r="E121" s="5" t="s">
        <v>58</v>
      </c>
      <c r="F121" s="7">
        <v>5</v>
      </c>
      <c r="G121" s="8">
        <v>18000</v>
      </c>
      <c r="H121" s="5" t="s">
        <v>31</v>
      </c>
      <c r="I121" s="9"/>
      <c r="J121" t="str">
        <f>PROPER(TRIM(C121))</f>
        <v>Võ Văn Phúc</v>
      </c>
      <c r="K121" t="str">
        <f>PROPER(TRIM(D121))</f>
        <v>Tp.Hcm</v>
      </c>
      <c r="L121" t="str">
        <f>PROPER(TRIM(E121))</f>
        <v>Pepsi</v>
      </c>
      <c r="M121" t="str">
        <f>PROPER(H121)</f>
        <v>Grab</v>
      </c>
    </row>
    <row r="122" spans="1:13" x14ac:dyDescent="0.2">
      <c r="A122" s="5" t="s">
        <v>139</v>
      </c>
      <c r="B122" s="6">
        <v>45001</v>
      </c>
      <c r="C122" s="5" t="s">
        <v>21</v>
      </c>
      <c r="D122" s="5" t="s">
        <v>16</v>
      </c>
      <c r="E122" s="5" t="s">
        <v>140</v>
      </c>
      <c r="F122" s="7">
        <v>3</v>
      </c>
      <c r="G122" s="8">
        <v>59000</v>
      </c>
      <c r="H122" s="5" t="s">
        <v>123</v>
      </c>
      <c r="I122" s="5" t="s">
        <v>45</v>
      </c>
      <c r="J122" t="str">
        <f>PROPER(TRIM(C122))</f>
        <v>Hoàng Thị Em</v>
      </c>
      <c r="K122" t="str">
        <f>PROPER(TRIM(D122))</f>
        <v>Tp.Hcm</v>
      </c>
      <c r="L122" t="str">
        <f>PROPER(TRIM(E122))</f>
        <v>Gà Rán 5 Miếng</v>
      </c>
      <c r="M122" t="str">
        <f>PROPER(H122)</f>
        <v>Shopee</v>
      </c>
    </row>
    <row r="123" spans="1:13" x14ac:dyDescent="0.2">
      <c r="A123" s="5" t="s">
        <v>141</v>
      </c>
      <c r="B123" s="6">
        <v>45002</v>
      </c>
      <c r="C123" s="5" t="s">
        <v>21</v>
      </c>
      <c r="D123" s="5" t="s">
        <v>16</v>
      </c>
      <c r="E123" s="5" t="s">
        <v>70</v>
      </c>
      <c r="F123" s="7">
        <v>1</v>
      </c>
      <c r="G123" s="8">
        <v>79000</v>
      </c>
      <c r="H123" s="5" t="s">
        <v>31</v>
      </c>
      <c r="I123" s="5" t="s">
        <v>18</v>
      </c>
      <c r="J123" t="str">
        <f>PROPER(TRIM(C123))</f>
        <v>Hoàng Thị Em</v>
      </c>
      <c r="K123" t="str">
        <f>PROPER(TRIM(D123))</f>
        <v>Tp.Hcm</v>
      </c>
      <c r="L123" t="str">
        <f>PROPER(TRIM(E123))</f>
        <v>Cánh Gà Chiên Mắm</v>
      </c>
      <c r="M123" t="str">
        <f>PROPER(H123)</f>
        <v>Grab</v>
      </c>
    </row>
    <row r="124" spans="1:13" x14ac:dyDescent="0.2">
      <c r="A124" s="5" t="s">
        <v>143</v>
      </c>
      <c r="B124" s="6">
        <v>45003</v>
      </c>
      <c r="C124" s="5" t="s">
        <v>15</v>
      </c>
      <c r="D124" s="5" t="s">
        <v>16</v>
      </c>
      <c r="E124" s="5" t="s">
        <v>56</v>
      </c>
      <c r="F124" s="7">
        <v>2</v>
      </c>
      <c r="G124" s="8">
        <v>39000</v>
      </c>
      <c r="H124" s="5" t="s">
        <v>31</v>
      </c>
      <c r="I124" s="5" t="s">
        <v>53</v>
      </c>
      <c r="J124" t="str">
        <f>PROPER(TRIM(C124))</f>
        <v>Võ Văn Phúc</v>
      </c>
      <c r="K124" t="str">
        <f>PROPER(TRIM(D124))</f>
        <v>Tp.Hcm</v>
      </c>
      <c r="L124" t="str">
        <f>PROPER(TRIM(E124))</f>
        <v>Salad Trộn</v>
      </c>
      <c r="M124" t="str">
        <f>PROPER(H124)</f>
        <v>Grab</v>
      </c>
    </row>
    <row r="125" spans="1:13" x14ac:dyDescent="0.2">
      <c r="A125" s="5" t="s">
        <v>144</v>
      </c>
      <c r="B125" s="6">
        <v>45004</v>
      </c>
      <c r="C125" s="5" t="s">
        <v>29</v>
      </c>
      <c r="D125" s="5" t="s">
        <v>16</v>
      </c>
      <c r="E125" s="5" t="s">
        <v>130</v>
      </c>
      <c r="F125" s="7">
        <v>3</v>
      </c>
      <c r="G125" s="8">
        <v>25000</v>
      </c>
      <c r="H125" s="5" t="s">
        <v>42</v>
      </c>
      <c r="I125" s="5" t="s">
        <v>45</v>
      </c>
      <c r="J125" t="str">
        <f>PROPER(TRIM(C125))</f>
        <v>Nguyễn Minh Anh</v>
      </c>
      <c r="K125" t="str">
        <f>PROPER(TRIM(D125))</f>
        <v>Tp.Hcm</v>
      </c>
      <c r="L125" t="str">
        <f>PROPER(TRIM(E125))</f>
        <v>Trà Đào</v>
      </c>
      <c r="M125" t="str">
        <f>PROPER(H125)</f>
        <v>Shopeefood</v>
      </c>
    </row>
    <row r="126" spans="1:13" x14ac:dyDescent="0.2">
      <c r="A126" s="5" t="s">
        <v>148</v>
      </c>
      <c r="B126" s="6">
        <v>45008</v>
      </c>
      <c r="C126" s="5" t="s">
        <v>15</v>
      </c>
      <c r="D126" s="5" t="s">
        <v>16</v>
      </c>
      <c r="E126" s="5" t="s">
        <v>130</v>
      </c>
      <c r="F126" s="7">
        <v>2</v>
      </c>
      <c r="G126" s="8">
        <v>25000</v>
      </c>
      <c r="H126" s="5" t="s">
        <v>42</v>
      </c>
      <c r="I126" s="5" t="s">
        <v>18</v>
      </c>
      <c r="J126" t="str">
        <f>PROPER(TRIM(C126))</f>
        <v>Võ Văn Phúc</v>
      </c>
      <c r="K126" t="str">
        <f>PROPER(TRIM(D126))</f>
        <v>Tp.Hcm</v>
      </c>
      <c r="L126" t="str">
        <f>PROPER(TRIM(E126))</f>
        <v>Trà Đào</v>
      </c>
      <c r="M126" t="str">
        <f>PROPER(H126)</f>
        <v>Shopeefood</v>
      </c>
    </row>
    <row r="127" spans="1:13" x14ac:dyDescent="0.2">
      <c r="A127" s="5" t="s">
        <v>153</v>
      </c>
      <c r="B127" s="6">
        <v>45740</v>
      </c>
      <c r="C127" s="5" t="s">
        <v>15</v>
      </c>
      <c r="D127" s="5" t="s">
        <v>16</v>
      </c>
      <c r="E127" s="5" t="s">
        <v>17</v>
      </c>
      <c r="F127" s="7">
        <v>3</v>
      </c>
      <c r="G127" s="8">
        <v>45000</v>
      </c>
      <c r="H127" s="5" t="s">
        <v>42</v>
      </c>
      <c r="I127" s="5" t="s">
        <v>18</v>
      </c>
      <c r="J127" t="str">
        <f>PROPER(TRIM(C127))</f>
        <v>Võ Văn Phúc</v>
      </c>
      <c r="K127" t="str">
        <f>PROPER(TRIM(D127))</f>
        <v>Tp.Hcm</v>
      </c>
      <c r="L127" t="str">
        <f>PROPER(TRIM(E127))</f>
        <v>Burger Gà Giòn</v>
      </c>
      <c r="M127" t="str">
        <f>PROPER(H127)</f>
        <v>Shopeefood</v>
      </c>
    </row>
    <row r="128" spans="1:13" x14ac:dyDescent="0.2">
      <c r="A128" s="5" t="s">
        <v>156</v>
      </c>
      <c r="B128" s="6">
        <v>45136</v>
      </c>
      <c r="C128" s="5" t="s">
        <v>157</v>
      </c>
      <c r="D128" s="5" t="s">
        <v>16</v>
      </c>
      <c r="E128" s="5" t="s">
        <v>58</v>
      </c>
      <c r="F128" s="7">
        <v>1</v>
      </c>
      <c r="G128" s="8">
        <v>18000</v>
      </c>
      <c r="H128" s="5" t="s">
        <v>31</v>
      </c>
      <c r="I128" s="5" t="s">
        <v>53</v>
      </c>
      <c r="J128" t="str">
        <f>PROPER(TRIM(C128))</f>
        <v>Hoàng Thị Em</v>
      </c>
      <c r="K128" t="str">
        <f>PROPER(TRIM(D128))</f>
        <v>Tp.Hcm</v>
      </c>
      <c r="L128" t="str">
        <f>PROPER(TRIM(E128))</f>
        <v>Pepsi</v>
      </c>
      <c r="M128" t="str">
        <f>PROPER(H128)</f>
        <v>Grab</v>
      </c>
    </row>
    <row r="129" spans="1:13" x14ac:dyDescent="0.2">
      <c r="A129" s="5" t="s">
        <v>158</v>
      </c>
      <c r="B129" s="6">
        <v>45137</v>
      </c>
      <c r="C129" s="5" t="s">
        <v>21</v>
      </c>
      <c r="D129" s="5" t="s">
        <v>16</v>
      </c>
      <c r="E129" s="5" t="s">
        <v>52</v>
      </c>
      <c r="F129" s="7">
        <v>4</v>
      </c>
      <c r="G129" s="8">
        <v>189000</v>
      </c>
      <c r="H129" s="5" t="s">
        <v>31</v>
      </c>
      <c r="I129" s="5" t="s">
        <v>53</v>
      </c>
      <c r="J129" t="str">
        <f>PROPER(TRIM(C129))</f>
        <v>Hoàng Thị Em</v>
      </c>
      <c r="K129" t="str">
        <f>PROPER(TRIM(D129))</f>
        <v>Tp.Hcm</v>
      </c>
      <c r="L129" t="str">
        <f>PROPER(TRIM(E129))</f>
        <v>Pizza Hải Sản</v>
      </c>
      <c r="M129" t="str">
        <f>PROPER(H129)</f>
        <v>Grab</v>
      </c>
    </row>
    <row r="130" spans="1:13" x14ac:dyDescent="0.2">
      <c r="A130" s="5" t="s">
        <v>162</v>
      </c>
      <c r="B130" s="6">
        <v>45141</v>
      </c>
      <c r="C130" s="5" t="s">
        <v>15</v>
      </c>
      <c r="D130" s="5" t="s">
        <v>16</v>
      </c>
      <c r="E130" s="5" t="s">
        <v>70</v>
      </c>
      <c r="F130" s="7">
        <v>5</v>
      </c>
      <c r="G130" s="8">
        <v>79000</v>
      </c>
      <c r="H130" s="5" t="s">
        <v>42</v>
      </c>
      <c r="I130" s="5" t="s">
        <v>45</v>
      </c>
      <c r="J130" t="str">
        <f>PROPER(TRIM(C130))</f>
        <v>Võ Văn Phúc</v>
      </c>
      <c r="K130" t="str">
        <f>PROPER(TRIM(D130))</f>
        <v>Tp.Hcm</v>
      </c>
      <c r="L130" t="str">
        <f>PROPER(TRIM(E130))</f>
        <v>Cánh Gà Chiên Mắm</v>
      </c>
      <c r="M130" t="str">
        <f>PROPER(H130)</f>
        <v>Shopeefood</v>
      </c>
    </row>
    <row r="131" spans="1:13" x14ac:dyDescent="0.2">
      <c r="A131" s="5" t="s">
        <v>163</v>
      </c>
      <c r="B131" s="6">
        <v>45142</v>
      </c>
      <c r="C131" s="5" t="s">
        <v>21</v>
      </c>
      <c r="D131" s="5" t="s">
        <v>16</v>
      </c>
      <c r="E131" s="5" t="s">
        <v>58</v>
      </c>
      <c r="F131" s="7">
        <v>5</v>
      </c>
      <c r="G131" s="8">
        <v>18000</v>
      </c>
      <c r="H131" s="5" t="s">
        <v>31</v>
      </c>
      <c r="I131" s="5" t="s">
        <v>23</v>
      </c>
      <c r="J131" t="str">
        <f>PROPER(TRIM(C131))</f>
        <v>Hoàng Thị Em</v>
      </c>
      <c r="K131" t="str">
        <f>PROPER(TRIM(D131))</f>
        <v>Tp.Hcm</v>
      </c>
      <c r="L131" t="str">
        <f>PROPER(TRIM(E131))</f>
        <v>Pepsi</v>
      </c>
      <c r="M131" t="str">
        <f>PROPER(H131)</f>
        <v>Grab</v>
      </c>
    </row>
    <row r="132" spans="1:13" x14ac:dyDescent="0.2">
      <c r="A132" s="5" t="s">
        <v>166</v>
      </c>
      <c r="B132" s="6">
        <v>45203</v>
      </c>
      <c r="C132" s="5" t="s">
        <v>15</v>
      </c>
      <c r="D132" s="5" t="s">
        <v>16</v>
      </c>
      <c r="E132" s="5" t="s">
        <v>100</v>
      </c>
      <c r="F132" s="7">
        <v>5</v>
      </c>
      <c r="G132" s="8">
        <v>159000</v>
      </c>
      <c r="H132" s="5" t="s">
        <v>31</v>
      </c>
      <c r="I132" s="9"/>
      <c r="J132" t="str">
        <f>PROPER(TRIM(C132))</f>
        <v>Võ Văn Phúc</v>
      </c>
      <c r="K132" t="str">
        <f>PROPER(TRIM(D132))</f>
        <v>Tp.Hcm</v>
      </c>
      <c r="L132" t="str">
        <f>PROPER(TRIM(E132))</f>
        <v>Pizza Pepperoni</v>
      </c>
      <c r="M132" t="str">
        <f>PROPER(H132)</f>
        <v>Grab</v>
      </c>
    </row>
    <row r="133" spans="1:13" x14ac:dyDescent="0.2">
      <c r="A133" s="5" t="s">
        <v>174</v>
      </c>
      <c r="B133" s="6">
        <v>45032</v>
      </c>
      <c r="C133" s="5" t="s">
        <v>21</v>
      </c>
      <c r="D133" s="5" t="s">
        <v>16</v>
      </c>
      <c r="E133" s="5" t="s">
        <v>130</v>
      </c>
      <c r="F133" s="7">
        <v>2</v>
      </c>
      <c r="G133" s="8">
        <v>25000</v>
      </c>
      <c r="H133" s="5" t="s">
        <v>31</v>
      </c>
      <c r="I133" s="9"/>
      <c r="J133" t="str">
        <f>PROPER(TRIM(C133))</f>
        <v>Hoàng Thị Em</v>
      </c>
      <c r="K133" t="str">
        <f>PROPER(TRIM(D133))</f>
        <v>Tp.Hcm</v>
      </c>
      <c r="L133" t="str">
        <f>PROPER(TRIM(E133))</f>
        <v>Trà Đào</v>
      </c>
      <c r="M133" t="str">
        <f>PROPER(H133)</f>
        <v>Grab</v>
      </c>
    </row>
    <row r="134" spans="1:13" x14ac:dyDescent="0.2">
      <c r="A134" s="5" t="s">
        <v>176</v>
      </c>
      <c r="B134" s="6">
        <v>45034</v>
      </c>
      <c r="C134" s="5" t="s">
        <v>15</v>
      </c>
      <c r="D134" s="5" t="s">
        <v>16</v>
      </c>
      <c r="E134" s="5" t="s">
        <v>177</v>
      </c>
      <c r="F134" s="7">
        <v>4</v>
      </c>
      <c r="G134" s="8">
        <v>18000</v>
      </c>
      <c r="H134" s="5" t="s">
        <v>42</v>
      </c>
      <c r="I134" s="9"/>
      <c r="J134" t="str">
        <f>PROPER(TRIM(C134))</f>
        <v>Võ Văn Phúc</v>
      </c>
      <c r="K134" t="str">
        <f>PROPER(TRIM(D134))</f>
        <v>Tp.Hcm</v>
      </c>
      <c r="L134" t="str">
        <f>PROPER(TRIM(E134))</f>
        <v>Cánh Gà Chiên Mắm</v>
      </c>
      <c r="M134" t="str">
        <f>PROPER(H134)</f>
        <v>Shopeefood</v>
      </c>
    </row>
    <row r="135" spans="1:13" x14ac:dyDescent="0.2">
      <c r="A135" s="5" t="s">
        <v>179</v>
      </c>
      <c r="B135" s="6">
        <v>45035</v>
      </c>
      <c r="C135" s="5" t="s">
        <v>21</v>
      </c>
      <c r="D135" s="5" t="s">
        <v>16</v>
      </c>
      <c r="E135" s="5" t="s">
        <v>50</v>
      </c>
      <c r="F135" s="7">
        <v>1</v>
      </c>
      <c r="G135" s="8">
        <v>35000</v>
      </c>
      <c r="H135" s="5" t="s">
        <v>13</v>
      </c>
      <c r="I135" s="5" t="s">
        <v>53</v>
      </c>
      <c r="J135" t="str">
        <f>PROPER(TRIM(C135))</f>
        <v>Hoàng Thị Em</v>
      </c>
      <c r="K135" t="str">
        <f>PROPER(TRIM(D135))</f>
        <v>Tp.Hcm</v>
      </c>
      <c r="L135" t="str">
        <f>PROPER(TRIM(E135))</f>
        <v>Khoai Tây Chiên (L)</v>
      </c>
      <c r="M135" t="str">
        <f>PROPER(H135)</f>
        <v>Tại Quán</v>
      </c>
    </row>
    <row r="136" spans="1:13" x14ac:dyDescent="0.2">
      <c r="A136" s="5" t="s">
        <v>186</v>
      </c>
      <c r="B136" s="6">
        <v>45040</v>
      </c>
      <c r="C136" s="5" t="s">
        <v>21</v>
      </c>
      <c r="D136" s="5" t="s">
        <v>16</v>
      </c>
      <c r="E136" s="5" t="s">
        <v>98</v>
      </c>
      <c r="F136" s="7">
        <v>2</v>
      </c>
      <c r="G136" s="8">
        <v>65000</v>
      </c>
      <c r="H136" s="5" t="s">
        <v>13</v>
      </c>
      <c r="I136" s="5" t="s">
        <v>38</v>
      </c>
      <c r="J136" t="str">
        <f>PROPER(TRIM(C136))</f>
        <v>Hoàng Thị Em</v>
      </c>
      <c r="K136" t="str">
        <f>PROPER(TRIM(D136))</f>
        <v>Tp.Hcm</v>
      </c>
      <c r="L136" t="str">
        <f>PROPER(TRIM(E136))</f>
        <v>Burger Tôm</v>
      </c>
      <c r="M136" t="str">
        <f>PROPER(H136)</f>
        <v>Tại Quán</v>
      </c>
    </row>
    <row r="137" spans="1:13" x14ac:dyDescent="0.2">
      <c r="A137" s="5" t="s">
        <v>190</v>
      </c>
      <c r="B137" s="6">
        <v>45044</v>
      </c>
      <c r="C137" s="5" t="s">
        <v>15</v>
      </c>
      <c r="D137" s="5" t="s">
        <v>16</v>
      </c>
      <c r="E137" s="5" t="s">
        <v>130</v>
      </c>
      <c r="F137" s="7">
        <v>4</v>
      </c>
      <c r="G137" s="8">
        <v>25000</v>
      </c>
      <c r="H137" s="5" t="s">
        <v>31</v>
      </c>
      <c r="I137" s="9"/>
      <c r="J137" t="str">
        <f>PROPER(TRIM(C137))</f>
        <v>Võ Văn Phúc</v>
      </c>
      <c r="K137" t="str">
        <f>PROPER(TRIM(D137))</f>
        <v>Tp.Hcm</v>
      </c>
      <c r="L137" t="str">
        <f>PROPER(TRIM(E137))</f>
        <v>Trà Đào</v>
      </c>
      <c r="M137" t="str">
        <f>PROPER(H137)</f>
        <v>Grab</v>
      </c>
    </row>
    <row r="138" spans="1:13" x14ac:dyDescent="0.2">
      <c r="A138" s="5" t="s">
        <v>191</v>
      </c>
      <c r="B138" s="6">
        <v>45045</v>
      </c>
      <c r="C138" s="5" t="s">
        <v>21</v>
      </c>
      <c r="D138" s="5" t="s">
        <v>16</v>
      </c>
      <c r="E138" s="5" t="s">
        <v>56</v>
      </c>
      <c r="F138" s="7">
        <v>2</v>
      </c>
      <c r="G138" s="8">
        <v>39000</v>
      </c>
      <c r="H138" s="5" t="s">
        <v>13</v>
      </c>
      <c r="I138" s="9"/>
      <c r="J138" t="str">
        <f>PROPER(TRIM(C138))</f>
        <v>Hoàng Thị Em</v>
      </c>
      <c r="K138" t="str">
        <f>PROPER(TRIM(D138))</f>
        <v>Tp.Hcm</v>
      </c>
      <c r="L138" t="str">
        <f>PROPER(TRIM(E138))</f>
        <v>Salad Trộn</v>
      </c>
      <c r="M138" t="str">
        <f>PROPER(H138)</f>
        <v>Tại Quán</v>
      </c>
    </row>
    <row r="139" spans="1:13" x14ac:dyDescent="0.2">
      <c r="A139" s="5" t="s">
        <v>192</v>
      </c>
      <c r="B139" s="6">
        <v>45046</v>
      </c>
      <c r="C139" s="5" t="s">
        <v>21</v>
      </c>
      <c r="D139" s="5" t="s">
        <v>16</v>
      </c>
      <c r="E139" s="5" t="s">
        <v>74</v>
      </c>
      <c r="F139" s="7">
        <v>1</v>
      </c>
      <c r="G139" s="8">
        <v>18000</v>
      </c>
      <c r="H139" s="5" t="s">
        <v>42</v>
      </c>
      <c r="I139" s="9"/>
      <c r="J139" t="str">
        <f>PROPER(TRIM(C139))</f>
        <v>Hoàng Thị Em</v>
      </c>
      <c r="K139" t="str">
        <f>PROPER(TRIM(D139))</f>
        <v>Tp.Hcm</v>
      </c>
      <c r="L139" t="str">
        <f>PROPER(TRIM(E139))</f>
        <v>Coca Cola</v>
      </c>
      <c r="M139" t="str">
        <f>PROPER(H139)</f>
        <v>Shopeefood</v>
      </c>
    </row>
    <row r="140" spans="1:13" x14ac:dyDescent="0.2">
      <c r="A140" s="5" t="s">
        <v>193</v>
      </c>
      <c r="B140" s="10">
        <v>45091</v>
      </c>
      <c r="C140" s="5" t="s">
        <v>21</v>
      </c>
      <c r="D140" s="5" t="s">
        <v>16</v>
      </c>
      <c r="E140" s="5" t="s">
        <v>30</v>
      </c>
      <c r="F140" s="7">
        <v>3</v>
      </c>
      <c r="G140" s="8">
        <v>59000</v>
      </c>
      <c r="H140" s="5" t="s">
        <v>13</v>
      </c>
      <c r="I140" s="5" t="s">
        <v>23</v>
      </c>
      <c r="J140" t="str">
        <f>PROPER(TRIM(C140))</f>
        <v>Hoàng Thị Em</v>
      </c>
      <c r="K140" t="str">
        <f>PROPER(TRIM(D140))</f>
        <v>Tp.Hcm</v>
      </c>
      <c r="L140" t="str">
        <f>PROPER(TRIM(E140))</f>
        <v>Gà Rán 2 Miếng</v>
      </c>
      <c r="M140" t="str">
        <f>PROPER(H140)</f>
        <v>Tại Quán</v>
      </c>
    </row>
    <row r="141" spans="1:13" x14ac:dyDescent="0.2">
      <c r="A141" s="5" t="s">
        <v>196</v>
      </c>
      <c r="B141" s="10">
        <v>45095</v>
      </c>
      <c r="C141" s="5" t="s">
        <v>21</v>
      </c>
      <c r="D141" s="5" t="s">
        <v>16</v>
      </c>
      <c r="E141" s="5" t="s">
        <v>74</v>
      </c>
      <c r="F141" s="7">
        <v>4</v>
      </c>
      <c r="G141" s="8">
        <v>1800</v>
      </c>
      <c r="H141" s="5" t="s">
        <v>31</v>
      </c>
      <c r="I141" s="5" t="s">
        <v>53</v>
      </c>
      <c r="J141" t="str">
        <f>PROPER(TRIM(C141))</f>
        <v>Hoàng Thị Em</v>
      </c>
      <c r="K141" t="str">
        <f>PROPER(TRIM(D141))</f>
        <v>Tp.Hcm</v>
      </c>
      <c r="L141" t="str">
        <f>PROPER(TRIM(E141))</f>
        <v>Coca Cola</v>
      </c>
      <c r="M141" t="str">
        <f>PROPER(H141)</f>
        <v>Grab</v>
      </c>
    </row>
    <row r="142" spans="1:13" x14ac:dyDescent="0.2">
      <c r="A142" s="5" t="s">
        <v>202</v>
      </c>
      <c r="B142" s="10">
        <v>45100</v>
      </c>
      <c r="C142" s="5" t="s">
        <v>21</v>
      </c>
      <c r="D142" s="5" t="s">
        <v>16</v>
      </c>
      <c r="E142" s="5" t="s">
        <v>56</v>
      </c>
      <c r="F142" s="7">
        <v>3</v>
      </c>
      <c r="G142" s="8">
        <v>39000</v>
      </c>
      <c r="H142" s="5" t="s">
        <v>42</v>
      </c>
      <c r="I142" s="9"/>
      <c r="J142" t="str">
        <f>PROPER(TRIM(C142))</f>
        <v>Hoàng Thị Em</v>
      </c>
      <c r="K142" t="str">
        <f>PROPER(TRIM(D142))</f>
        <v>Tp.Hcm</v>
      </c>
      <c r="L142" t="str">
        <f>PROPER(TRIM(E142))</f>
        <v>Salad Trộn</v>
      </c>
      <c r="M142" t="str">
        <f>PROPER(H142)</f>
        <v>Shopeefood</v>
      </c>
    </row>
    <row r="143" spans="1:13" x14ac:dyDescent="0.2">
      <c r="A143" s="5" t="s">
        <v>204</v>
      </c>
      <c r="B143" s="10">
        <v>45102</v>
      </c>
      <c r="C143" s="5" t="s">
        <v>21</v>
      </c>
      <c r="D143" s="5" t="s">
        <v>16</v>
      </c>
      <c r="E143" s="5" t="s">
        <v>74</v>
      </c>
      <c r="F143" s="7">
        <v>2</v>
      </c>
      <c r="G143" s="8">
        <v>18000</v>
      </c>
      <c r="H143" s="5" t="s">
        <v>42</v>
      </c>
      <c r="I143" s="5" t="s">
        <v>38</v>
      </c>
      <c r="J143" t="str">
        <f>PROPER(TRIM(C143))</f>
        <v>Hoàng Thị Em</v>
      </c>
      <c r="K143" t="str">
        <f>PROPER(TRIM(D143))</f>
        <v>Tp.Hcm</v>
      </c>
      <c r="L143" t="str">
        <f>PROPER(TRIM(E143))</f>
        <v>Coca Cola</v>
      </c>
      <c r="M143" t="str">
        <f>PROPER(H143)</f>
        <v>Shopeefood</v>
      </c>
    </row>
    <row r="144" spans="1:13" x14ac:dyDescent="0.2">
      <c r="A144" s="5" t="s">
        <v>205</v>
      </c>
      <c r="B144" s="10">
        <v>45103</v>
      </c>
      <c r="C144" s="5" t="s">
        <v>15</v>
      </c>
      <c r="D144" s="5" t="s">
        <v>16</v>
      </c>
      <c r="E144" s="5" t="s">
        <v>26</v>
      </c>
      <c r="F144" s="7">
        <v>4</v>
      </c>
      <c r="G144" s="8">
        <v>129000</v>
      </c>
      <c r="H144" s="5" t="s">
        <v>13</v>
      </c>
      <c r="I144" s="9"/>
      <c r="J144" t="str">
        <f>PROPER(TRIM(C144))</f>
        <v>Võ Văn Phúc</v>
      </c>
      <c r="K144" t="str">
        <f>PROPER(TRIM(D144))</f>
        <v>Tp.Hcm</v>
      </c>
      <c r="L144" t="str">
        <f>PROPER(TRIM(E144))</f>
        <v>Gà Rán 5 Miếng</v>
      </c>
      <c r="M144" t="str">
        <f>PROPER(H144)</f>
        <v>Tại Quán</v>
      </c>
    </row>
    <row r="145" spans="1:13" x14ac:dyDescent="0.2">
      <c r="A145" s="5" t="s">
        <v>155</v>
      </c>
      <c r="B145" s="10">
        <v>45110</v>
      </c>
      <c r="C145" s="5" t="s">
        <v>21</v>
      </c>
      <c r="D145" s="5" t="s">
        <v>16</v>
      </c>
      <c r="E145" s="5" t="s">
        <v>100</v>
      </c>
      <c r="F145" s="7">
        <v>1</v>
      </c>
      <c r="G145" s="8">
        <v>159000</v>
      </c>
      <c r="H145" s="5" t="s">
        <v>42</v>
      </c>
      <c r="I145" s="5" t="s">
        <v>45</v>
      </c>
      <c r="J145" t="str">
        <f>PROPER(TRIM(C145))</f>
        <v>Hoàng Thị Em</v>
      </c>
      <c r="K145" t="str">
        <f>PROPER(TRIM(D145))</f>
        <v>Tp.Hcm</v>
      </c>
      <c r="L145" t="str">
        <f>PROPER(TRIM(E145))</f>
        <v>Pizza Pepperoni</v>
      </c>
      <c r="M145" t="str">
        <f>PROPER(H145)</f>
        <v>Shopeefood</v>
      </c>
    </row>
    <row r="146" spans="1:13" x14ac:dyDescent="0.2">
      <c r="A146" s="5" t="s">
        <v>155</v>
      </c>
      <c r="B146" s="10">
        <v>45111</v>
      </c>
      <c r="C146" s="5" t="s">
        <v>21</v>
      </c>
      <c r="D146" s="5" t="s">
        <v>16</v>
      </c>
      <c r="E146" s="5" t="s">
        <v>100</v>
      </c>
      <c r="F146" s="7">
        <v>1</v>
      </c>
      <c r="G146" s="8">
        <v>159000</v>
      </c>
      <c r="H146" s="5" t="s">
        <v>42</v>
      </c>
      <c r="I146" s="5" t="s">
        <v>45</v>
      </c>
      <c r="J146" t="str">
        <f>PROPER(TRIM(C146))</f>
        <v>Hoàng Thị Em</v>
      </c>
      <c r="K146" t="str">
        <f>PROPER(TRIM(D146))</f>
        <v>Tp.Hcm</v>
      </c>
      <c r="L146" t="str">
        <f>PROPER(TRIM(E146))</f>
        <v>Pizza Pepperoni</v>
      </c>
      <c r="M146" t="str">
        <f>PROPER(H146)</f>
        <v>Shopeefood</v>
      </c>
    </row>
    <row r="147" spans="1:13" x14ac:dyDescent="0.2">
      <c r="A147" s="5" t="s">
        <v>20</v>
      </c>
      <c r="B147" s="6">
        <v>45017</v>
      </c>
      <c r="C147" s="5" t="s">
        <v>21</v>
      </c>
      <c r="D147" s="5" t="s">
        <v>22</v>
      </c>
      <c r="E147" s="5" t="s">
        <v>12</v>
      </c>
      <c r="F147" s="7">
        <v>5</v>
      </c>
      <c r="G147" s="8">
        <v>55000</v>
      </c>
      <c r="H147" s="5" t="s">
        <v>13</v>
      </c>
      <c r="I147" s="5" t="s">
        <v>23</v>
      </c>
      <c r="J147" t="str">
        <f>PROPER(TRIM(C147))</f>
        <v>Hoàng Thị Em</v>
      </c>
      <c r="K147" t="str">
        <f>PROPER(TRIM(D149))</f>
        <v>Tphcm</v>
      </c>
      <c r="L147" t="str">
        <f>PROPER(TRIM(E147))</f>
        <v>Burger Bò Phô Mai</v>
      </c>
      <c r="M147" t="str">
        <f>PROPER(H147)</f>
        <v>Tại Quán</v>
      </c>
    </row>
    <row r="148" spans="1:13" x14ac:dyDescent="0.2">
      <c r="A148" s="5" t="s">
        <v>73</v>
      </c>
      <c r="B148" s="6">
        <v>44949</v>
      </c>
      <c r="C148" s="5" t="s">
        <v>21</v>
      </c>
      <c r="D148" s="5" t="s">
        <v>22</v>
      </c>
      <c r="E148" s="5" t="s">
        <v>74</v>
      </c>
      <c r="F148" s="7">
        <v>2</v>
      </c>
      <c r="G148" s="8">
        <v>18000</v>
      </c>
      <c r="H148" s="5" t="s">
        <v>42</v>
      </c>
      <c r="I148" s="9"/>
      <c r="J148" t="str">
        <f>PROPER(TRIM(C148))</f>
        <v>Hoàng Thị Em</v>
      </c>
      <c r="K148" t="str">
        <f>PROPER(TRIM(D121))</f>
        <v>Tp.Hcm</v>
      </c>
      <c r="L148" t="str">
        <f>PROPER(TRIM(E148))</f>
        <v>Coca Cola</v>
      </c>
      <c r="M148" t="str">
        <f>PROPER(H148)</f>
        <v>Shopeefood</v>
      </c>
    </row>
    <row r="149" spans="1:13" x14ac:dyDescent="0.2">
      <c r="A149" s="5" t="s">
        <v>88</v>
      </c>
      <c r="B149" s="6">
        <v>45140</v>
      </c>
      <c r="C149" s="5" t="s">
        <v>10</v>
      </c>
      <c r="D149" s="5" t="s">
        <v>22</v>
      </c>
      <c r="E149" s="5" t="s">
        <v>56</v>
      </c>
      <c r="F149" s="7">
        <v>1</v>
      </c>
      <c r="G149" s="8">
        <v>39000</v>
      </c>
      <c r="H149" s="5" t="s">
        <v>13</v>
      </c>
      <c r="I149" s="9"/>
      <c r="J149" t="str">
        <f>PROPER(TRIM(C149))</f>
        <v>Nguyễn Minh Anh</v>
      </c>
      <c r="K149" t="str">
        <f>PROPER(TRIM(D144))</f>
        <v>Tp.Hcm</v>
      </c>
      <c r="L149" t="str">
        <f>PROPER(TRIM(E149))</f>
        <v>Salad Trộn</v>
      </c>
      <c r="M149" t="str">
        <f>PROPER(H149)</f>
        <v>Tại Quán</v>
      </c>
    </row>
    <row r="150" spans="1:13" x14ac:dyDescent="0.2">
      <c r="A150" s="5" t="s">
        <v>99</v>
      </c>
      <c r="B150" s="6">
        <v>44974</v>
      </c>
      <c r="C150" s="5" t="s">
        <v>69</v>
      </c>
      <c r="D150" s="5" t="s">
        <v>22</v>
      </c>
      <c r="E150" s="5" t="s">
        <v>100</v>
      </c>
      <c r="F150" s="7">
        <v>4</v>
      </c>
      <c r="G150" s="8">
        <v>159000</v>
      </c>
      <c r="H150" s="5" t="s">
        <v>42</v>
      </c>
      <c r="I150" s="5" t="s">
        <v>23</v>
      </c>
      <c r="J150" t="str">
        <f>PROPER(TRIM(C150))</f>
        <v>Phạm Hoàng Dũng</v>
      </c>
      <c r="K150" t="str">
        <f>PROPER(TRIM(D138))</f>
        <v>Tp.Hcm</v>
      </c>
      <c r="L150" t="str">
        <f>PROPER(TRIM(E150))</f>
        <v>Pizza Pepperoni</v>
      </c>
      <c r="M150" t="str">
        <f>PROPER(H150)</f>
        <v>Shopeefood</v>
      </c>
    </row>
    <row r="151" spans="1:13" x14ac:dyDescent="0.2">
      <c r="A151" s="5" t="s">
        <v>114</v>
      </c>
      <c r="B151" s="6">
        <v>44984</v>
      </c>
      <c r="C151" s="5" t="s">
        <v>10</v>
      </c>
      <c r="D151" s="5" t="s">
        <v>22</v>
      </c>
      <c r="E151" s="5" t="s">
        <v>17</v>
      </c>
      <c r="F151" s="7">
        <v>2</v>
      </c>
      <c r="G151" s="8">
        <v>25000</v>
      </c>
      <c r="H151" s="5" t="s">
        <v>31</v>
      </c>
      <c r="I151" s="9"/>
      <c r="J151" t="str">
        <f>PROPER(TRIM(C151))</f>
        <v>Nguyễn Minh Anh</v>
      </c>
      <c r="K151" t="str">
        <f>PROPER(TRIM(D150))</f>
        <v>Tphcm</v>
      </c>
      <c r="L151" t="str">
        <f>PROPER(TRIM(E151))</f>
        <v>Burger Gà Giòn</v>
      </c>
      <c r="M151" t="str">
        <f>PROPER(H151)</f>
        <v>Grab</v>
      </c>
    </row>
    <row r="152" spans="1:13" x14ac:dyDescent="0.2">
      <c r="A152" s="5" t="s">
        <v>128</v>
      </c>
      <c r="B152" s="6">
        <v>45141</v>
      </c>
      <c r="C152" s="5" t="s">
        <v>33</v>
      </c>
      <c r="D152" s="5" t="s">
        <v>22</v>
      </c>
      <c r="E152" s="5" t="s">
        <v>52</v>
      </c>
      <c r="F152" s="7">
        <v>2</v>
      </c>
      <c r="G152" s="8">
        <v>189000</v>
      </c>
      <c r="H152" s="5" t="s">
        <v>42</v>
      </c>
      <c r="I152" s="9"/>
      <c r="J152" t="str">
        <f>PROPER(TRIM(C152))</f>
        <v>Lê Thị Cẩm</v>
      </c>
      <c r="K152" t="str">
        <f>PROPER(TRIM(D152))</f>
        <v>Tphcm</v>
      </c>
      <c r="L152" t="str">
        <f>PROPER(TRIM(E152))</f>
        <v>Pizza Hải Sản</v>
      </c>
      <c r="M152" t="str">
        <f>PROPER(H152)</f>
        <v>Shopeefood</v>
      </c>
    </row>
    <row r="153" spans="1:13" x14ac:dyDescent="0.2">
      <c r="A153" s="5" t="s">
        <v>142</v>
      </c>
      <c r="B153" s="6">
        <v>45003</v>
      </c>
      <c r="C153" s="5" t="s">
        <v>33</v>
      </c>
      <c r="D153" s="5" t="s">
        <v>22</v>
      </c>
      <c r="E153" s="5" t="s">
        <v>12</v>
      </c>
      <c r="F153" s="7">
        <v>4</v>
      </c>
      <c r="G153" s="8">
        <v>55000</v>
      </c>
      <c r="H153" s="5" t="s">
        <v>13</v>
      </c>
      <c r="I153" s="5" t="s">
        <v>23</v>
      </c>
      <c r="J153" t="str">
        <f>PROPER(TRIM(C153))</f>
        <v>Lê Thị Cẩm</v>
      </c>
      <c r="K153" t="str">
        <f>PROPER(TRIM(D153))</f>
        <v>Tphcm</v>
      </c>
      <c r="L153" t="str">
        <f>PROPER(TRIM(E153))</f>
        <v>Burger Bò Phô Mai</v>
      </c>
      <c r="M153" t="str">
        <f>PROPER(H153)</f>
        <v>Tại Quán</v>
      </c>
    </row>
    <row r="154" spans="1:13" x14ac:dyDescent="0.2">
      <c r="A154" s="5" t="s">
        <v>155</v>
      </c>
      <c r="B154" s="6">
        <v>46470</v>
      </c>
      <c r="C154" s="5" t="s">
        <v>25</v>
      </c>
      <c r="D154" s="5" t="s">
        <v>22</v>
      </c>
      <c r="E154" s="5" t="s">
        <v>98</v>
      </c>
      <c r="F154" s="7">
        <v>1</v>
      </c>
      <c r="G154" s="8">
        <v>65000</v>
      </c>
      <c r="H154" s="5" t="s">
        <v>13</v>
      </c>
      <c r="I154" s="9"/>
      <c r="J154" t="str">
        <f>PROPER(TRIM(C154))</f>
        <v>Trần Văn Bình</v>
      </c>
      <c r="K154" t="str">
        <f>PROPER(TRIM(D152))</f>
        <v>Tphcm</v>
      </c>
      <c r="L154" t="str">
        <f>PROPER(TRIM(E154))</f>
        <v>Burger Tôm</v>
      </c>
      <c r="M154" t="str">
        <f>PROPER(H154)</f>
        <v>Tại Quán</v>
      </c>
    </row>
    <row r="155" spans="1:13" x14ac:dyDescent="0.2">
      <c r="A155" s="5" t="s">
        <v>169</v>
      </c>
      <c r="B155" s="6">
        <v>45264</v>
      </c>
      <c r="C155" s="5" t="s">
        <v>33</v>
      </c>
      <c r="D155" s="5" t="s">
        <v>22</v>
      </c>
      <c r="E155" s="5" t="s">
        <v>30</v>
      </c>
      <c r="F155" s="7">
        <v>2</v>
      </c>
      <c r="G155" s="8">
        <v>59000</v>
      </c>
      <c r="H155" s="5" t="s">
        <v>42</v>
      </c>
      <c r="I155" s="9"/>
      <c r="J155" t="str">
        <f>PROPER(TRIM(C155))</f>
        <v>Lê Thị Cẩm</v>
      </c>
      <c r="K155" t="str">
        <f>PROPER(TRIM(D152))</f>
        <v>Tphcm</v>
      </c>
      <c r="L155" t="str">
        <f>PROPER(TRIM(E155))</f>
        <v>Gà Rán 2 Miếng</v>
      </c>
      <c r="M155" t="str">
        <f>PROPER(H155)</f>
        <v>Shopeefood</v>
      </c>
    </row>
    <row r="156" spans="1:13" x14ac:dyDescent="0.2">
      <c r="B156" s="11"/>
      <c r="F156" s="12"/>
      <c r="G156" s="13"/>
      <c r="J156" t="str">
        <f>PROPER(TRIM(C156))</f>
        <v/>
      </c>
    </row>
  </sheetData>
  <sortState xmlns:xlrd2="http://schemas.microsoft.com/office/spreadsheetml/2017/richdata2" ref="A2:M156">
    <sortCondition ref="D2:D15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C8FB-D91E-1842-998E-39CFAB188133}">
  <dimension ref="A1:B11"/>
  <sheetViews>
    <sheetView workbookViewId="0">
      <selection activeCell="G9" sqref="G9"/>
    </sheetView>
  </sheetViews>
  <sheetFormatPr baseColWidth="10" defaultRowHeight="16" x14ac:dyDescent="0.2"/>
  <cols>
    <col min="1" max="1" width="26.1640625" customWidth="1"/>
    <col min="2" max="2" width="53.1640625" customWidth="1"/>
  </cols>
  <sheetData>
    <row r="1" spans="1:2" ht="19" x14ac:dyDescent="0.2">
      <c r="A1" s="14" t="s">
        <v>210</v>
      </c>
    </row>
    <row r="3" spans="1:2" x14ac:dyDescent="0.2">
      <c r="A3" s="15" t="s">
        <v>211</v>
      </c>
      <c r="B3" s="15" t="s">
        <v>212</v>
      </c>
    </row>
    <row r="4" spans="1:2" ht="102" x14ac:dyDescent="0.2">
      <c r="A4" s="16" t="s">
        <v>213</v>
      </c>
      <c r="B4" s="16" t="s">
        <v>222</v>
      </c>
    </row>
    <row r="5" spans="1:2" ht="85" x14ac:dyDescent="0.2">
      <c r="A5" s="16" t="s">
        <v>214</v>
      </c>
      <c r="B5" s="16" t="s">
        <v>223</v>
      </c>
    </row>
    <row r="6" spans="1:2" ht="34" x14ac:dyDescent="0.2">
      <c r="A6" s="16" t="s">
        <v>215</v>
      </c>
      <c r="B6" s="16" t="s">
        <v>224</v>
      </c>
    </row>
    <row r="7" spans="1:2" ht="51" x14ac:dyDescent="0.2">
      <c r="A7" s="16" t="s">
        <v>216</v>
      </c>
      <c r="B7" s="16" t="s">
        <v>225</v>
      </c>
    </row>
    <row r="8" spans="1:2" ht="51" x14ac:dyDescent="0.2">
      <c r="A8" s="16" t="s">
        <v>217</v>
      </c>
      <c r="B8" s="16" t="s">
        <v>226</v>
      </c>
    </row>
    <row r="9" spans="1:2" ht="51" x14ac:dyDescent="0.2">
      <c r="A9" s="16" t="s">
        <v>218</v>
      </c>
      <c r="B9" s="16" t="s">
        <v>227</v>
      </c>
    </row>
    <row r="10" spans="1:2" ht="51" x14ac:dyDescent="0.2">
      <c r="A10" s="16" t="s">
        <v>219</v>
      </c>
      <c r="B10" s="16" t="s">
        <v>220</v>
      </c>
    </row>
    <row r="11" spans="1:2" ht="85" x14ac:dyDescent="0.2">
      <c r="A11" s="17" t="s">
        <v>221</v>
      </c>
      <c r="B11" s="16"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Châm Nguyễn</dc:creator>
  <cp:lastModifiedBy>Châm Nguyễn</cp:lastModifiedBy>
  <dcterms:created xsi:type="dcterms:W3CDTF">2026-01-18T13:29:45Z</dcterms:created>
  <dcterms:modified xsi:type="dcterms:W3CDTF">2026-01-18T13:39:09Z</dcterms:modified>
</cp:coreProperties>
</file>